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aminaly/Box Sync/heatwave_covid/visuals/"/>
    </mc:Choice>
  </mc:AlternateContent>
  <xr:revisionPtr revIDLastSave="0" documentId="13_ncr:1_{7EBB6056-FD51-C14B-B094-96557D96E12E}" xr6:coauthVersionLast="47" xr6:coauthVersionMax="47" xr10:uidLastSave="{00000000-0000-0000-0000-000000000000}"/>
  <bookViews>
    <workbookView xWindow="0" yWindow="500" windowWidth="28800" windowHeight="17500" activeTab="3" xr2:uid="{00000000-000D-0000-FFFF-FFFF00000000}"/>
  </bookViews>
  <sheets>
    <sheet name="Table S1" sheetId="6" r:id="rId1"/>
    <sheet name="Table S2" sheetId="3" r:id="rId2"/>
    <sheet name="Table S3" sheetId="4" r:id="rId3"/>
    <sheet name="Table S4" sheetId="5" r:id="rId4"/>
    <sheet name="Table S5" sheetId="2" r:id="rId5"/>
    <sheet name="archive" sheetId="1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5" l="1"/>
  <c r="E5" i="5" s="1"/>
  <c r="F5" i="5" s="1"/>
  <c r="D6" i="5"/>
  <c r="E6" i="5" s="1"/>
  <c r="F6" i="5" s="1"/>
  <c r="G6" i="5" s="1"/>
  <c r="D7" i="5"/>
  <c r="E7" i="5" s="1"/>
  <c r="F7" i="5" s="1"/>
  <c r="G7" i="5" s="1"/>
  <c r="D8" i="5"/>
  <c r="E8" i="5" s="1"/>
  <c r="F8" i="5" s="1"/>
  <c r="G8" i="5" s="1"/>
  <c r="D9" i="5"/>
  <c r="E9" i="5" s="1"/>
  <c r="F9" i="5" s="1"/>
  <c r="G9" i="5" s="1"/>
  <c r="D10" i="5"/>
  <c r="E10" i="5" s="1"/>
  <c r="F10" i="5" s="1"/>
  <c r="G10" i="5" s="1"/>
  <c r="D11" i="5"/>
  <c r="E11" i="5" s="1"/>
  <c r="F11" i="5" s="1"/>
  <c r="G11" i="5" s="1"/>
  <c r="D12" i="5"/>
  <c r="E12" i="5" s="1"/>
  <c r="F12" i="5" s="1"/>
  <c r="G12" i="5" s="1"/>
  <c r="D13" i="5"/>
  <c r="E13" i="5" s="1"/>
  <c r="F13" i="5" s="1"/>
  <c r="G13" i="5" s="1"/>
  <c r="D14" i="5"/>
  <c r="E14" i="5" s="1"/>
  <c r="F14" i="5" s="1"/>
  <c r="D15" i="5"/>
  <c r="E15" i="5" s="1"/>
  <c r="F15" i="5" s="1"/>
  <c r="D16" i="5"/>
  <c r="E16" i="5" s="1"/>
  <c r="F16" i="5" s="1"/>
  <c r="G16" i="5" s="1"/>
  <c r="D17" i="5"/>
  <c r="E17" i="5" s="1"/>
  <c r="F17" i="5" s="1"/>
  <c r="G17" i="5" s="1"/>
  <c r="D18" i="5"/>
  <c r="E18" i="5" s="1"/>
  <c r="F18" i="5" s="1"/>
  <c r="G18" i="5" s="1"/>
  <c r="D19" i="5"/>
  <c r="E19" i="5" s="1"/>
  <c r="F19" i="5" s="1"/>
  <c r="G19" i="5" s="1"/>
  <c r="D20" i="5"/>
  <c r="E20" i="5" s="1"/>
  <c r="F20" i="5" s="1"/>
  <c r="G20" i="5" s="1"/>
  <c r="D21" i="5"/>
  <c r="E21" i="5" s="1"/>
  <c r="F21" i="5" s="1"/>
  <c r="D22" i="5"/>
  <c r="E22" i="5" s="1"/>
  <c r="F22" i="5" s="1"/>
  <c r="D23" i="5"/>
  <c r="E23" i="5" s="1"/>
  <c r="F23" i="5" s="1"/>
  <c r="G23" i="5" s="1"/>
  <c r="D24" i="5"/>
  <c r="E24" i="5" s="1"/>
  <c r="F24" i="5" s="1"/>
  <c r="G24" i="5" s="1"/>
  <c r="D25" i="5"/>
  <c r="E25" i="5" s="1"/>
  <c r="F25" i="5" s="1"/>
  <c r="G25" i="5" s="1"/>
  <c r="D26" i="5"/>
  <c r="E26" i="5" s="1"/>
  <c r="F26" i="5" s="1"/>
  <c r="G26" i="5" s="1"/>
  <c r="D27" i="5"/>
  <c r="E27" i="5" s="1"/>
  <c r="F27" i="5" s="1"/>
  <c r="G27" i="5" s="1"/>
  <c r="D28" i="5"/>
  <c r="E28" i="5" s="1"/>
  <c r="F28" i="5" s="1"/>
  <c r="G28" i="5" s="1"/>
  <c r="D29" i="5"/>
  <c r="E29" i="5" s="1"/>
  <c r="F29" i="5" s="1"/>
  <c r="G29" i="5" s="1"/>
  <c r="D30" i="5"/>
  <c r="E30" i="5" s="1"/>
  <c r="F30" i="5" s="1"/>
  <c r="G30" i="5" s="1"/>
  <c r="D31" i="5"/>
  <c r="E31" i="5" s="1"/>
  <c r="F31" i="5" s="1"/>
  <c r="G31" i="5" s="1"/>
  <c r="D32" i="5"/>
  <c r="E32" i="5" s="1"/>
  <c r="F32" i="5" s="1"/>
  <c r="G32" i="5" s="1"/>
  <c r="D33" i="5"/>
  <c r="E33" i="5" s="1"/>
  <c r="F33" i="5" s="1"/>
  <c r="G33" i="5" s="1"/>
  <c r="D34" i="5"/>
  <c r="E34" i="5" s="1"/>
  <c r="F34" i="5" s="1"/>
  <c r="G34" i="5" s="1"/>
  <c r="D35" i="5"/>
  <c r="E35" i="5" s="1"/>
  <c r="F35" i="5" s="1"/>
  <c r="G35" i="5" s="1"/>
  <c r="D4" i="5"/>
  <c r="E4" i="5" s="1"/>
  <c r="F4" i="5" s="1"/>
  <c r="G4" i="5" s="1"/>
  <c r="G5" i="5" l="1"/>
  <c r="G21" i="5"/>
  <c r="G14" i="5"/>
  <c r="G15" i="5"/>
  <c r="G22" i="5"/>
</calcChain>
</file>

<file path=xl/sharedStrings.xml><?xml version="1.0" encoding="utf-8"?>
<sst xmlns="http://schemas.openxmlformats.org/spreadsheetml/2006/main" count="317" uniqueCount="133">
  <si>
    <t>Census Block Group</t>
  </si>
  <si>
    <t>Median Income</t>
  </si>
  <si>
    <t>Income Group</t>
  </si>
  <si>
    <t>Point of Interest</t>
  </si>
  <si>
    <t>City</t>
  </si>
  <si>
    <t>Low</t>
  </si>
  <si>
    <t>Pier 39</t>
  </si>
  <si>
    <t>San Francisco</t>
  </si>
  <si>
    <t>Medium High</t>
  </si>
  <si>
    <t>Oakland Middle Harbor</t>
  </si>
  <si>
    <t>Oakland</t>
  </si>
  <si>
    <t>Downtown Gilroy</t>
  </si>
  <si>
    <t>Gilroy</t>
  </si>
  <si>
    <t>Buchan Field Airport (Domestic)</t>
  </si>
  <si>
    <t>Concord</t>
  </si>
  <si>
    <t>Santa Cruz Beach Boardwalk</t>
  </si>
  <si>
    <t>Santa Cruz</t>
  </si>
  <si>
    <t>Medium Low</t>
  </si>
  <si>
    <t>Corteva Wetlands Reserve</t>
  </si>
  <si>
    <t>Antioch</t>
  </si>
  <si>
    <t>Franklin Square, Mission District</t>
  </si>
  <si>
    <t>Medium</t>
  </si>
  <si>
    <t>Downown Capitola</t>
  </si>
  <si>
    <t>Capitola</t>
  </si>
  <si>
    <t>Colma Cemeteries</t>
  </si>
  <si>
    <t>Colma</t>
  </si>
  <si>
    <t>Westfield Valley Fair</t>
  </si>
  <si>
    <t>Santa Clara</t>
  </si>
  <si>
    <t>Muir Woods National Monument</t>
  </si>
  <si>
    <t>Mill Valley</t>
  </si>
  <si>
    <t>Downtown Palo Alto</t>
  </si>
  <si>
    <t>Palo Alto</t>
  </si>
  <si>
    <t>Emeryville Public Market</t>
  </si>
  <si>
    <t>Emeryville</t>
  </si>
  <si>
    <t>Chinatown/Financial District</t>
  </si>
  <si>
    <t>Vacaville Premium Outlets</t>
  </si>
  <si>
    <t>Vacaville</t>
  </si>
  <si>
    <t>CBG appears in 2020 and 2021</t>
  </si>
  <si>
    <t>060019819001</t>
  </si>
  <si>
    <t>060750101001</t>
  </si>
  <si>
    <t>060133270005</t>
  </si>
  <si>
    <t>060133050003</t>
  </si>
  <si>
    <t>060855126021</t>
  </si>
  <si>
    <t>060750177001</t>
  </si>
  <si>
    <t>060871010004</t>
  </si>
  <si>
    <t>060871217002</t>
  </si>
  <si>
    <t>060816016011</t>
  </si>
  <si>
    <t>060855058002</t>
  </si>
  <si>
    <t>060411311002</t>
  </si>
  <si>
    <t>060855113022</t>
  </si>
  <si>
    <t>060014251023</t>
  </si>
  <si>
    <t>060750611001</t>
  </si>
  <si>
    <t>060971507011</t>
  </si>
  <si>
    <t>Downtown Petaluma</t>
  </si>
  <si>
    <t>Petaluma</t>
  </si>
  <si>
    <t>060952529112</t>
  </si>
  <si>
    <t>060411192012</t>
  </si>
  <si>
    <t>Greenbrae</t>
  </si>
  <si>
    <t>Corte Madera Creel</t>
  </si>
  <si>
    <t>2020</t>
  </si>
  <si>
    <t>2021</t>
  </si>
  <si>
    <t>Top 10 Most Visited CBGs in Summer Months</t>
  </si>
  <si>
    <t>Median Mobility Index</t>
  </si>
  <si>
    <t>Top 10 Least Visited CBGs in Summer Months</t>
  </si>
  <si>
    <t>High</t>
  </si>
  <si>
    <t>060014308001</t>
  </si>
  <si>
    <t>060133810002</t>
  </si>
  <si>
    <t>060952510001</t>
  </si>
  <si>
    <t>060816126004</t>
  </si>
  <si>
    <t>060750327005</t>
  </si>
  <si>
    <t>060750261004</t>
  </si>
  <si>
    <t>060750167003</t>
  </si>
  <si>
    <t>060133901003</t>
  </si>
  <si>
    <t>060971513062</t>
  </si>
  <si>
    <t>060133592031</t>
  </si>
  <si>
    <t xml:space="preserve">Residential </t>
  </si>
  <si>
    <t>Castro Valley</t>
  </si>
  <si>
    <t>Richmond</t>
  </si>
  <si>
    <t>Vallejo</t>
  </si>
  <si>
    <t>Menlo Park</t>
  </si>
  <si>
    <t>Residential / High School</t>
  </si>
  <si>
    <t>Buena Vista Park</t>
  </si>
  <si>
    <t>El Cerrito</t>
  </si>
  <si>
    <t>Residential / Middle School</t>
  </si>
  <si>
    <t>Residential</t>
  </si>
  <si>
    <t>Rohnert Park</t>
  </si>
  <si>
    <t>Hercules</t>
  </si>
  <si>
    <t>Table 1</t>
  </si>
  <si>
    <t>Model</t>
  </si>
  <si>
    <t>Variable</t>
  </si>
  <si>
    <t>Estimate</t>
  </si>
  <si>
    <t>P-value</t>
  </si>
  <si>
    <t>Daily High Temperature</t>
  </si>
  <si>
    <t>Wet Bulb Temperature</t>
  </si>
  <si>
    <t>Daily High Wet Bulb Temperature</t>
  </si>
  <si>
    <t>Daily High Temperature + Precipitation Accumulation</t>
  </si>
  <si>
    <t xml:space="preserve">Daily Accumulated Precipitation </t>
  </si>
  <si>
    <t>Downtown Capitola</t>
  </si>
  <si>
    <t>Interaction Variable</t>
  </si>
  <si>
    <t>Log Estimate</t>
  </si>
  <si>
    <t>Cube Root Estimate</t>
  </si>
  <si>
    <t>Absolute Difference Between Estimates</t>
  </si>
  <si>
    <t>All Summer</t>
  </si>
  <si>
    <t>2020 All Summer</t>
  </si>
  <si>
    <t>2021 All Summer</t>
  </si>
  <si>
    <t>Hot Days</t>
  </si>
  <si>
    <t>2020 Hot Days</t>
  </si>
  <si>
    <t>2021 Hot Days</t>
  </si>
  <si>
    <t>Period of the Week</t>
  </si>
  <si>
    <t>Weekend</t>
  </si>
  <si>
    <t>Weekday</t>
  </si>
  <si>
    <t>Period of the Week Hot Days</t>
  </si>
  <si>
    <t>2020 Period of the Week Hot Days</t>
  </si>
  <si>
    <t>MI Group</t>
  </si>
  <si>
    <t>Intermediate</t>
  </si>
  <si>
    <t>MI Group: 2020</t>
  </si>
  <si>
    <t>MI Group: 2021</t>
  </si>
  <si>
    <t>Lower Bound (2.5th percentile of Bootstrap)</t>
  </si>
  <si>
    <t>Upper Bound (97.5th percentile of Bootstrap)</t>
  </si>
  <si>
    <t>2021 Period of the Week Hot Days</t>
  </si>
  <si>
    <t>2020 Period of the Week</t>
  </si>
  <si>
    <t>2021 Period of the Week</t>
  </si>
  <si>
    <t>Coefficient Value</t>
  </si>
  <si>
    <t>Home</t>
  </si>
  <si>
    <t>Stops</t>
  </si>
  <si>
    <t>MI @ Average Temp</t>
  </si>
  <si>
    <t>MI @ 10 degrees</t>
  </si>
  <si>
    <t># of Stops</t>
  </si>
  <si>
    <t>Edit these two for updated values</t>
  </si>
  <si>
    <t>Change in visitors for every 10 degrees increased from average temperatures (25°C)</t>
  </si>
  <si>
    <r>
      <t>Adjusted r</t>
    </r>
    <r>
      <rPr>
        <b/>
        <vertAlign val="superscript"/>
        <sz val="12"/>
        <color rgb="FF000000"/>
        <rFont val="Calibri"/>
        <family val="2"/>
      </rPr>
      <t>2</t>
    </r>
  </si>
  <si>
    <r>
      <t>Projected r</t>
    </r>
    <r>
      <rPr>
        <b/>
        <vertAlign val="superscript"/>
        <sz val="12"/>
        <color rgb="FF000000"/>
        <rFont val="Calibri"/>
        <family val="2"/>
      </rPr>
      <t>2</t>
    </r>
  </si>
  <si>
    <t>Change in Stops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</si>
</sst>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76" formatCode="0.0000"/>
  </numFmts>
  <fonts count="26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6"/>
      <color theme="1"/>
      <name val="Helvetica"/>
      <family val="2"/>
    </font>
    <font>
      <b/>
      <sz val="12"/>
      <color rgb="FF000000"/>
      <name val="Times New Roman"/>
      <family val="1"/>
    </font>
    <font>
      <sz val="12"/>
      <color rgb="FF000000"/>
      <name val="Times New Roman"/>
      <family val="1"/>
    </font>
    <font>
      <sz val="12"/>
      <color rgb="FF000000"/>
      <name val="Calibri"/>
      <family val="2"/>
      <scheme val="minor"/>
    </font>
    <font>
      <b/>
      <sz val="18"/>
      <color rgb="FF000000"/>
      <name val="Times New Roman"/>
      <family val="1"/>
    </font>
    <font>
      <b/>
      <sz val="12"/>
      <color rgb="FF000000"/>
      <name val="Calibri"/>
      <family val="2"/>
    </font>
    <font>
      <b/>
      <vertAlign val="superscript"/>
      <sz val="12"/>
      <color rgb="FF000000"/>
      <name val="Calibri"/>
      <family val="2"/>
    </font>
    <font>
      <sz val="12"/>
      <color rgb="FF000000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theme="7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63">
    <xf numFmtId="0" fontId="0" fillId="0" borderId="0" xfId="0"/>
    <xf numFmtId="49" fontId="0" fillId="0" borderId="0" xfId="0" applyNumberFormat="1"/>
    <xf numFmtId="49" fontId="0" fillId="33" borderId="0" xfId="0" applyNumberFormat="1" applyFill="1"/>
    <xf numFmtId="0" fontId="0" fillId="0" borderId="10" xfId="0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15" xfId="0" applyNumberFormat="1" applyBorder="1" applyAlignment="1">
      <alignment horizontal="center" vertical="center"/>
    </xf>
    <xf numFmtId="49" fontId="0" fillId="0" borderId="16" xfId="0" applyNumberFormat="1" applyBorder="1" applyAlignment="1">
      <alignment horizontal="center" vertical="center"/>
    </xf>
    <xf numFmtId="49" fontId="0" fillId="33" borderId="16" xfId="0" applyNumberFormat="1" applyFill="1" applyBorder="1" applyAlignment="1">
      <alignment horizontal="center" vertical="center"/>
    </xf>
    <xf numFmtId="49" fontId="0" fillId="33" borderId="17" xfId="0" applyNumberFormat="1" applyFill="1" applyBorder="1" applyAlignment="1">
      <alignment horizontal="center" vertical="center"/>
    </xf>
    <xf numFmtId="49" fontId="0" fillId="0" borderId="18" xfId="0" applyNumberForma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49" fontId="0" fillId="0" borderId="10" xfId="0" applyNumberForma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12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22" xfId="0" applyNumberFormat="1" applyBorder="1" applyAlignment="1">
      <alignment horizontal="center" vertical="center"/>
    </xf>
    <xf numFmtId="49" fontId="0" fillId="0" borderId="20" xfId="0" applyNumberFormat="1" applyBorder="1" applyAlignment="1">
      <alignment horizontal="center" vertical="center"/>
    </xf>
    <xf numFmtId="49" fontId="0" fillId="0" borderId="21" xfId="0" applyNumberFormat="1" applyBorder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49" fontId="16" fillId="0" borderId="13" xfId="0" applyNumberFormat="1" applyFont="1" applyBorder="1" applyAlignment="1">
      <alignment horizontal="center" vertical="center"/>
    </xf>
    <xf numFmtId="49" fontId="16" fillId="0" borderId="14" xfId="0" applyNumberFormat="1" applyFont="1" applyBorder="1" applyAlignment="1">
      <alignment horizontal="center" vertical="center"/>
    </xf>
    <xf numFmtId="0" fontId="19" fillId="0" borderId="23" xfId="0" applyFont="1" applyBorder="1" applyAlignment="1">
      <alignment horizontal="center" vertical="center" wrapText="1"/>
    </xf>
    <xf numFmtId="0" fontId="19" fillId="0" borderId="24" xfId="0" applyFont="1" applyBorder="1" applyAlignment="1">
      <alignment horizontal="center" vertical="center" wrapText="1"/>
    </xf>
    <xf numFmtId="0" fontId="20" fillId="0" borderId="25" xfId="0" applyFont="1" applyBorder="1" applyAlignment="1">
      <alignment horizontal="center" vertical="center" wrapText="1"/>
    </xf>
    <xf numFmtId="0" fontId="20" fillId="0" borderId="26" xfId="0" applyFont="1" applyBorder="1" applyAlignment="1">
      <alignment horizontal="center" vertical="center" wrapText="1"/>
    </xf>
    <xf numFmtId="0" fontId="20" fillId="34" borderId="26" xfId="0" applyFont="1" applyFill="1" applyBorder="1" applyAlignment="1">
      <alignment horizontal="center" vertical="center" wrapText="1"/>
    </xf>
    <xf numFmtId="0" fontId="20" fillId="0" borderId="28" xfId="0" applyFont="1" applyBorder="1" applyAlignment="1">
      <alignment horizontal="center" vertical="center" wrapText="1"/>
    </xf>
    <xf numFmtId="0" fontId="20" fillId="0" borderId="29" xfId="0" applyFont="1" applyBorder="1" applyAlignment="1">
      <alignment horizontal="center" vertical="center" wrapText="1"/>
    </xf>
    <xf numFmtId="0" fontId="20" fillId="0" borderId="27" xfId="0" applyFont="1" applyBorder="1" applyAlignment="1">
      <alignment horizontal="center" vertical="center" wrapText="1"/>
    </xf>
    <xf numFmtId="0" fontId="20" fillId="0" borderId="30" xfId="0" applyFont="1" applyBorder="1" applyAlignment="1">
      <alignment horizontal="center" vertical="center" wrapText="1"/>
    </xf>
    <xf numFmtId="0" fontId="20" fillId="0" borderId="26" xfId="0" applyFont="1" applyFill="1" applyBorder="1" applyAlignment="1">
      <alignment horizontal="center" vertical="center" wrapText="1"/>
    </xf>
    <xf numFmtId="176" fontId="20" fillId="0" borderId="26" xfId="0" applyNumberFormat="1" applyFont="1" applyBorder="1" applyAlignment="1">
      <alignment horizontal="center" vertical="center" wrapText="1"/>
    </xf>
    <xf numFmtId="0" fontId="21" fillId="0" borderId="0" xfId="0" applyFont="1"/>
    <xf numFmtId="176" fontId="20" fillId="0" borderId="26" xfId="0" applyNumberFormat="1" applyFont="1" applyFill="1" applyBorder="1" applyAlignment="1">
      <alignment horizontal="center" vertical="center" wrapText="1"/>
    </xf>
    <xf numFmtId="0" fontId="20" fillId="0" borderId="10" xfId="0" applyFont="1" applyBorder="1" applyAlignment="1">
      <alignment horizontal="center" vertical="center" wrapText="1"/>
    </xf>
    <xf numFmtId="0" fontId="20" fillId="0" borderId="10" xfId="0" applyFont="1" applyBorder="1" applyAlignment="1">
      <alignment horizontal="center" vertical="center" wrapText="1"/>
    </xf>
    <xf numFmtId="176" fontId="20" fillId="0" borderId="10" xfId="0" applyNumberFormat="1" applyFont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0" fillId="35" borderId="10" xfId="0" applyFill="1" applyBorder="1" applyAlignment="1">
      <alignment horizontal="center"/>
    </xf>
    <xf numFmtId="0" fontId="0" fillId="35" borderId="31" xfId="0" applyFill="1" applyBorder="1" applyAlignment="1">
      <alignment horizontal="center" wrapText="1"/>
    </xf>
    <xf numFmtId="0" fontId="0" fillId="35" borderId="32" xfId="0" applyFill="1" applyBorder="1" applyAlignment="1">
      <alignment horizontal="center" wrapText="1"/>
    </xf>
    <xf numFmtId="0" fontId="22" fillId="0" borderId="0" xfId="0" applyFont="1" applyFill="1" applyBorder="1" applyAlignment="1">
      <alignment horizontal="left" vertical="center"/>
    </xf>
    <xf numFmtId="0" fontId="16" fillId="0" borderId="0" xfId="0" applyFont="1" applyBorder="1" applyAlignment="1">
      <alignment horizontal="center"/>
    </xf>
    <xf numFmtId="0" fontId="23" fillId="0" borderId="23" xfId="0" applyFont="1" applyBorder="1" applyAlignment="1">
      <alignment horizontal="center" vertical="center" wrapText="1"/>
    </xf>
    <xf numFmtId="0" fontId="23" fillId="0" borderId="24" xfId="0" applyFont="1" applyBorder="1" applyAlignment="1">
      <alignment horizontal="center" vertical="center" wrapText="1"/>
    </xf>
    <xf numFmtId="0" fontId="25" fillId="0" borderId="25" xfId="0" applyFont="1" applyBorder="1" applyAlignment="1">
      <alignment horizontal="center" vertical="center" wrapText="1"/>
    </xf>
    <xf numFmtId="0" fontId="25" fillId="0" borderId="26" xfId="0" applyFont="1" applyBorder="1" applyAlignment="1">
      <alignment horizontal="center" vertical="center" wrapText="1"/>
    </xf>
    <xf numFmtId="11" fontId="25" fillId="0" borderId="26" xfId="0" applyNumberFormat="1" applyFont="1" applyBorder="1" applyAlignment="1">
      <alignment horizontal="center" vertical="center" wrapText="1"/>
    </xf>
    <xf numFmtId="0" fontId="25" fillId="0" borderId="29" xfId="0" applyFont="1" applyBorder="1" applyAlignment="1">
      <alignment horizontal="center" vertical="center" wrapText="1"/>
    </xf>
    <xf numFmtId="0" fontId="25" fillId="0" borderId="25" xfId="0" applyFont="1" applyBorder="1" applyAlignment="1">
      <alignment horizontal="center" vertical="center" wrapText="1"/>
    </xf>
    <xf numFmtId="0" fontId="25" fillId="0" borderId="27" xfId="0" applyFont="1" applyBorder="1" applyAlignment="1">
      <alignment horizontal="center" vertical="center" wrapText="1"/>
    </xf>
    <xf numFmtId="9" fontId="0" fillId="0" borderId="0" xfId="42" applyNumberFormat="1" applyFont="1" applyBorder="1"/>
    <xf numFmtId="0" fontId="0" fillId="0" borderId="0" xfId="0" applyAlignment="1">
      <alignment wrapText="1"/>
    </xf>
    <xf numFmtId="0" fontId="16" fillId="0" borderId="10" xfId="0" applyFont="1" applyBorder="1" applyAlignment="1">
      <alignment horizontal="center" wrapText="1"/>
    </xf>
    <xf numFmtId="176" fontId="0" fillId="0" borderId="10" xfId="0" applyNumberFormat="1" applyBorder="1" applyAlignment="1">
      <alignment wrapText="1"/>
    </xf>
    <xf numFmtId="1" fontId="0" fillId="0" borderId="10" xfId="0" applyNumberFormat="1" applyBorder="1" applyAlignment="1">
      <alignment wrapText="1"/>
    </xf>
    <xf numFmtId="1" fontId="0" fillId="0" borderId="10" xfId="42" applyNumberFormat="1" applyFont="1" applyBorder="1" applyAlignment="1">
      <alignment wrapTex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0B872-E63B-FB4C-8025-820B5826EC5A}">
  <dimension ref="A1:F5"/>
  <sheetViews>
    <sheetView workbookViewId="0">
      <selection sqref="A1:F5"/>
    </sheetView>
  </sheetViews>
  <sheetFormatPr baseColWidth="10" defaultRowHeight="16" x14ac:dyDescent="0.2"/>
  <sheetData>
    <row r="1" spans="1:6" ht="21" thickBot="1" x14ac:dyDescent="0.25">
      <c r="A1" s="49" t="s">
        <v>88</v>
      </c>
      <c r="B1" s="50" t="s">
        <v>89</v>
      </c>
      <c r="C1" s="50" t="s">
        <v>90</v>
      </c>
      <c r="D1" s="50" t="s">
        <v>91</v>
      </c>
      <c r="E1" s="50" t="s">
        <v>130</v>
      </c>
      <c r="F1" s="50" t="s">
        <v>131</v>
      </c>
    </row>
    <row r="2" spans="1:6" ht="52" thickBot="1" x14ac:dyDescent="0.25">
      <c r="A2" s="51" t="s">
        <v>92</v>
      </c>
      <c r="B2" s="52" t="s">
        <v>92</v>
      </c>
      <c r="C2" s="53">
        <v>-2.4399999999999999E-3</v>
      </c>
      <c r="D2" s="52">
        <v>0</v>
      </c>
      <c r="E2" s="52">
        <v>0.63070000000000004</v>
      </c>
      <c r="F2" s="52">
        <v>-3.0000000000000001E-3</v>
      </c>
    </row>
    <row r="3" spans="1:6" ht="69" thickBot="1" x14ac:dyDescent="0.25">
      <c r="A3" s="51" t="s">
        <v>93</v>
      </c>
      <c r="B3" s="52" t="s">
        <v>94</v>
      </c>
      <c r="C3" s="53">
        <v>-2.64E-3</v>
      </c>
      <c r="D3" s="52">
        <v>0</v>
      </c>
      <c r="E3" s="52">
        <v>0.63080000000000003</v>
      </c>
      <c r="F3" s="52">
        <v>-3.0000000000000001E-3</v>
      </c>
    </row>
    <row r="4" spans="1:6" ht="52" thickBot="1" x14ac:dyDescent="0.25">
      <c r="A4" s="54" t="s">
        <v>95</v>
      </c>
      <c r="B4" s="52" t="s">
        <v>92</v>
      </c>
      <c r="C4" s="53">
        <v>-2.5000000000000001E-3</v>
      </c>
      <c r="D4" s="52">
        <v>0</v>
      </c>
      <c r="E4" s="54">
        <v>0.63080000000000003</v>
      </c>
      <c r="F4" s="54">
        <v>-3.0000000000000001E-3</v>
      </c>
    </row>
    <row r="5" spans="1:6" ht="86" thickBot="1" x14ac:dyDescent="0.25">
      <c r="A5" s="55"/>
      <c r="B5" s="52" t="s">
        <v>96</v>
      </c>
      <c r="C5" s="53">
        <v>-8.9700000000000005E-3</v>
      </c>
      <c r="D5" s="52">
        <v>0</v>
      </c>
      <c r="E5" s="56"/>
      <c r="F5" s="56"/>
    </row>
  </sheetData>
  <mergeCells count="3">
    <mergeCell ref="A4:A5"/>
    <mergeCell ref="E4:E5"/>
    <mergeCell ref="F4:F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03C891-99DD-5A42-82C1-5EF99C3EC6FD}">
  <dimension ref="B1:F30"/>
  <sheetViews>
    <sheetView topLeftCell="A3" workbookViewId="0">
      <selection activeCell="G22" sqref="G22"/>
    </sheetView>
  </sheetViews>
  <sheetFormatPr baseColWidth="10" defaultRowHeight="16" x14ac:dyDescent="0.2"/>
  <cols>
    <col min="1" max="1" width="17.6640625" customWidth="1"/>
    <col min="2" max="2" width="17.5" customWidth="1"/>
    <col min="3" max="3" width="16.83203125" customWidth="1"/>
    <col min="4" max="4" width="12.6640625" customWidth="1"/>
    <col min="5" max="5" width="9.6640625" customWidth="1"/>
  </cols>
  <sheetData>
    <row r="1" spans="2:6" ht="17" thickBot="1" x14ac:dyDescent="0.25"/>
    <row r="2" spans="2:6" ht="69" thickBot="1" x14ac:dyDescent="0.25">
      <c r="B2" s="27" t="s">
        <v>88</v>
      </c>
      <c r="C2" s="28" t="s">
        <v>98</v>
      </c>
      <c r="D2" s="28" t="s">
        <v>99</v>
      </c>
      <c r="E2" s="28" t="s">
        <v>100</v>
      </c>
      <c r="F2" s="28" t="s">
        <v>101</v>
      </c>
    </row>
    <row r="3" spans="2:6" ht="51" customHeight="1" thickBot="1" x14ac:dyDescent="0.25">
      <c r="B3" s="29" t="s">
        <v>102</v>
      </c>
      <c r="C3" s="30"/>
      <c r="D3" s="30">
        <v>-2E-3</v>
      </c>
      <c r="E3" s="30">
        <v>-2.3999999999999998E-3</v>
      </c>
      <c r="F3" s="30">
        <v>4.0000000000000002E-4</v>
      </c>
    </row>
    <row r="4" spans="2:6" ht="68" customHeight="1" thickBot="1" x14ac:dyDescent="0.25">
      <c r="B4" s="29" t="s">
        <v>103</v>
      </c>
      <c r="C4" s="30"/>
      <c r="D4" s="30">
        <v>-1.4E-3</v>
      </c>
      <c r="E4" s="30">
        <v>-1.5E-3</v>
      </c>
      <c r="F4" s="30">
        <v>1E-4</v>
      </c>
    </row>
    <row r="5" spans="2:6" ht="51" customHeight="1" thickBot="1" x14ac:dyDescent="0.25">
      <c r="B5" s="29" t="s">
        <v>104</v>
      </c>
      <c r="C5" s="30"/>
      <c r="D5" s="30">
        <v>-4.0000000000000002E-4</v>
      </c>
      <c r="E5" s="30">
        <v>-1.1000000000000001E-3</v>
      </c>
      <c r="F5" s="30">
        <v>6.9999999999999999E-4</v>
      </c>
    </row>
    <row r="6" spans="2:6" ht="85" customHeight="1" thickBot="1" x14ac:dyDescent="0.25">
      <c r="B6" s="29" t="s">
        <v>105</v>
      </c>
      <c r="C6" s="30"/>
      <c r="D6" s="30">
        <v>-5.4999999999999997E-3</v>
      </c>
      <c r="E6" s="30">
        <v>-6.1999999999999998E-3</v>
      </c>
      <c r="F6" s="30">
        <v>6.9999999999999999E-4</v>
      </c>
    </row>
    <row r="7" spans="2:6" ht="18" thickBot="1" x14ac:dyDescent="0.25">
      <c r="B7" s="29" t="s">
        <v>106</v>
      </c>
      <c r="C7" s="30"/>
      <c r="D7" s="30">
        <v>-1.6000000000000001E-3</v>
      </c>
      <c r="E7" s="30">
        <v>-1.9E-3</v>
      </c>
      <c r="F7" s="30">
        <v>2.9999999999999997E-4</v>
      </c>
    </row>
    <row r="8" spans="2:6" ht="18" thickBot="1" x14ac:dyDescent="0.25">
      <c r="B8" s="29" t="s">
        <v>107</v>
      </c>
      <c r="C8" s="30"/>
      <c r="D8" s="30">
        <v>-3.3999999999999998E-3</v>
      </c>
      <c r="E8" s="30">
        <v>-3.7000000000000002E-3</v>
      </c>
      <c r="F8" s="30">
        <v>2.9999999999999997E-4</v>
      </c>
    </row>
    <row r="9" spans="2:6" ht="18" thickBot="1" x14ac:dyDescent="0.25">
      <c r="B9" s="33" t="s">
        <v>108</v>
      </c>
      <c r="C9" s="30" t="s">
        <v>109</v>
      </c>
      <c r="D9" s="30">
        <v>-2.8E-3</v>
      </c>
      <c r="E9" s="30">
        <v>-3.0999999999999999E-3</v>
      </c>
      <c r="F9" s="30">
        <v>2.9999999999999997E-4</v>
      </c>
    </row>
    <row r="10" spans="2:6" ht="18" thickBot="1" x14ac:dyDescent="0.25">
      <c r="B10" s="34"/>
      <c r="C10" s="30" t="s">
        <v>110</v>
      </c>
      <c r="D10" s="30">
        <v>-1.6000000000000001E-3</v>
      </c>
      <c r="E10" s="30">
        <v>-2.0999999999999999E-3</v>
      </c>
      <c r="F10" s="30">
        <v>5.0000000000000001E-4</v>
      </c>
    </row>
    <row r="11" spans="2:6" ht="18" thickBot="1" x14ac:dyDescent="0.25">
      <c r="B11" s="35" t="s">
        <v>111</v>
      </c>
      <c r="C11" s="30" t="s">
        <v>109</v>
      </c>
      <c r="D11" s="30">
        <v>-5.5999999999999999E-3</v>
      </c>
      <c r="E11" s="30">
        <v>-6.1999999999999998E-3</v>
      </c>
      <c r="F11" s="30">
        <v>5.9999999999999995E-4</v>
      </c>
    </row>
    <row r="12" spans="2:6" ht="18" thickBot="1" x14ac:dyDescent="0.25">
      <c r="B12" s="34"/>
      <c r="C12" s="30" t="s">
        <v>110</v>
      </c>
      <c r="D12" s="30">
        <v>-5.4000000000000003E-3</v>
      </c>
      <c r="E12" s="30">
        <v>-6.1999999999999998E-3</v>
      </c>
      <c r="F12" s="30">
        <v>8.0000000000000004E-4</v>
      </c>
    </row>
    <row r="13" spans="2:6" ht="18" thickBot="1" x14ac:dyDescent="0.25">
      <c r="B13" s="35" t="s">
        <v>112</v>
      </c>
      <c r="C13" s="30" t="s">
        <v>109</v>
      </c>
      <c r="D13" s="30">
        <v>-1.6000000000000001E-3</v>
      </c>
      <c r="E13" s="30">
        <v>-1.9E-3</v>
      </c>
      <c r="F13" s="30">
        <v>2.9999999999999997E-4</v>
      </c>
    </row>
    <row r="14" spans="2:6" ht="18" thickBot="1" x14ac:dyDescent="0.25">
      <c r="B14" s="34"/>
      <c r="C14" s="30" t="s">
        <v>110</v>
      </c>
      <c r="D14" s="30">
        <v>-8.0000000000000004E-4</v>
      </c>
      <c r="E14" s="30">
        <v>-1.1999999999999999E-3</v>
      </c>
      <c r="F14" s="30">
        <v>4.0000000000000002E-4</v>
      </c>
    </row>
    <row r="15" spans="2:6" ht="18" thickBot="1" x14ac:dyDescent="0.25">
      <c r="B15" s="35" t="s">
        <v>112</v>
      </c>
      <c r="C15" s="30" t="s">
        <v>109</v>
      </c>
      <c r="D15" s="30">
        <v>-3.2000000000000002E-3</v>
      </c>
      <c r="E15" s="30">
        <v>-2.8999999999999998E-3</v>
      </c>
      <c r="F15" s="30">
        <v>2.9999999999999997E-4</v>
      </c>
    </row>
    <row r="16" spans="2:6" ht="18" thickBot="1" x14ac:dyDescent="0.25">
      <c r="B16" s="34"/>
      <c r="C16" s="30" t="s">
        <v>110</v>
      </c>
      <c r="D16" s="30">
        <v>-3.3E-3</v>
      </c>
      <c r="E16" s="30">
        <v>-3.5000000000000001E-3</v>
      </c>
      <c r="F16" s="30">
        <v>2.0000000000000001E-4</v>
      </c>
    </row>
    <row r="17" spans="2:6" ht="18" thickBot="1" x14ac:dyDescent="0.25">
      <c r="B17" s="35" t="s">
        <v>2</v>
      </c>
      <c r="C17" s="30" t="s">
        <v>5</v>
      </c>
      <c r="D17" s="30">
        <v>-1.6999999999999999E-3</v>
      </c>
      <c r="E17" s="30">
        <v>-2E-3</v>
      </c>
      <c r="F17" s="30">
        <v>2.9999999999999997E-4</v>
      </c>
    </row>
    <row r="18" spans="2:6" ht="18" thickBot="1" x14ac:dyDescent="0.25">
      <c r="B18" s="32"/>
      <c r="C18" s="30" t="s">
        <v>17</v>
      </c>
      <c r="D18" s="30">
        <v>-1.9E-3</v>
      </c>
      <c r="E18" s="30">
        <v>-2.5000000000000001E-3</v>
      </c>
      <c r="F18" s="30">
        <v>5.9999999999999995E-4</v>
      </c>
    </row>
    <row r="19" spans="2:6" ht="18" thickBot="1" x14ac:dyDescent="0.25">
      <c r="B19" s="32"/>
      <c r="C19" s="30" t="s">
        <v>21</v>
      </c>
      <c r="D19" s="30">
        <v>-1.8E-3</v>
      </c>
      <c r="E19" s="30">
        <v>-2.2000000000000001E-3</v>
      </c>
      <c r="F19" s="30">
        <v>4.0000000000000002E-4</v>
      </c>
    </row>
    <row r="20" spans="2:6" ht="18" thickBot="1" x14ac:dyDescent="0.25">
      <c r="B20" s="32"/>
      <c r="C20" s="30" t="s">
        <v>8</v>
      </c>
      <c r="D20" s="30">
        <v>-2.2000000000000001E-3</v>
      </c>
      <c r="E20" s="30">
        <v>-2.3999999999999998E-3</v>
      </c>
      <c r="F20" s="30">
        <v>2.0000000000000001E-4</v>
      </c>
    </row>
    <row r="21" spans="2:6" ht="18" thickBot="1" x14ac:dyDescent="0.25">
      <c r="B21" s="34"/>
      <c r="C21" s="30" t="s">
        <v>64</v>
      </c>
      <c r="D21" s="30">
        <v>-2.5000000000000001E-3</v>
      </c>
      <c r="E21" s="30">
        <v>-3.0999999999999999E-3</v>
      </c>
      <c r="F21" s="30">
        <v>5.9999999999999995E-4</v>
      </c>
    </row>
    <row r="22" spans="2:6" ht="18" thickBot="1" x14ac:dyDescent="0.25">
      <c r="B22" s="35" t="s">
        <v>113</v>
      </c>
      <c r="C22" s="31" t="s">
        <v>5</v>
      </c>
      <c r="D22" s="31">
        <v>4.4999999999999997E-3</v>
      </c>
      <c r="E22" s="31">
        <v>7.4000000000000003E-3</v>
      </c>
      <c r="F22" s="31">
        <v>2.8999999999999998E-3</v>
      </c>
    </row>
    <row r="23" spans="2:6" ht="18" thickBot="1" x14ac:dyDescent="0.25">
      <c r="B23" s="32"/>
      <c r="C23" s="30" t="s">
        <v>114</v>
      </c>
      <c r="D23" s="30">
        <v>-2.5000000000000001E-3</v>
      </c>
      <c r="E23" s="30">
        <v>-3.0000000000000001E-3</v>
      </c>
      <c r="F23" s="30">
        <v>5.0000000000000001E-4</v>
      </c>
    </row>
    <row r="24" spans="2:6" ht="18" thickBot="1" x14ac:dyDescent="0.25">
      <c r="B24" s="34"/>
      <c r="C24" s="31" t="s">
        <v>64</v>
      </c>
      <c r="D24" s="31">
        <v>-5.9999999999999995E-4</v>
      </c>
      <c r="E24" s="31">
        <v>-2.3E-3</v>
      </c>
      <c r="F24" s="31">
        <v>1.6999999999999999E-3</v>
      </c>
    </row>
    <row r="25" spans="2:6" ht="18" thickBot="1" x14ac:dyDescent="0.25">
      <c r="B25" s="35" t="s">
        <v>115</v>
      </c>
      <c r="C25" s="31" t="s">
        <v>5</v>
      </c>
      <c r="D25" s="31">
        <v>-3.3999999999999998E-3</v>
      </c>
      <c r="E25" s="31">
        <v>1.5E-3</v>
      </c>
      <c r="F25" s="31">
        <v>4.8999999999999998E-3</v>
      </c>
    </row>
    <row r="26" spans="2:6" ht="18" thickBot="1" x14ac:dyDescent="0.25">
      <c r="B26" s="32"/>
      <c r="C26" s="30" t="s">
        <v>114</v>
      </c>
      <c r="D26" s="30">
        <v>-1.6999999999999999E-3</v>
      </c>
      <c r="E26" s="30">
        <v>-1.6999999999999999E-3</v>
      </c>
      <c r="F26" s="30">
        <v>0</v>
      </c>
    </row>
    <row r="27" spans="2:6" ht="18" thickBot="1" x14ac:dyDescent="0.25">
      <c r="B27" s="34"/>
      <c r="C27" s="31" t="s">
        <v>64</v>
      </c>
      <c r="D27" s="31">
        <v>4.7999999999999996E-3</v>
      </c>
      <c r="E27" s="31">
        <v>-1E-3</v>
      </c>
      <c r="F27" s="31">
        <v>5.7999999999999996E-3</v>
      </c>
    </row>
    <row r="28" spans="2:6" ht="18" thickBot="1" x14ac:dyDescent="0.25">
      <c r="B28" s="35" t="s">
        <v>116</v>
      </c>
      <c r="C28" s="31" t="s">
        <v>5</v>
      </c>
      <c r="D28" s="31">
        <v>-4.8999999999999998E-3</v>
      </c>
      <c r="E28" s="31">
        <v>-7.4999999999999997E-3</v>
      </c>
      <c r="F28" s="31">
        <v>2.5999999999999999E-3</v>
      </c>
    </row>
    <row r="29" spans="2:6" ht="18" thickBot="1" x14ac:dyDescent="0.25">
      <c r="B29" s="32"/>
      <c r="C29" s="30" t="s">
        <v>114</v>
      </c>
      <c r="D29" s="30">
        <v>-2.9999999999999997E-4</v>
      </c>
      <c r="E29" s="30">
        <v>-8.0000000000000004E-4</v>
      </c>
      <c r="F29" s="30">
        <v>5.0000000000000001E-4</v>
      </c>
    </row>
    <row r="30" spans="2:6" ht="18" thickBot="1" x14ac:dyDescent="0.25">
      <c r="B30" s="34"/>
      <c r="C30" s="30" t="s">
        <v>64</v>
      </c>
      <c r="D30" s="30">
        <v>8.0000000000000004E-4</v>
      </c>
      <c r="E30" s="30">
        <v>1.1000000000000001E-3</v>
      </c>
      <c r="F30" s="30">
        <v>2.9999999999999997E-4</v>
      </c>
    </row>
  </sheetData>
  <mergeCells count="8">
    <mergeCell ref="B15:B16"/>
    <mergeCell ref="B17:B21"/>
    <mergeCell ref="B22:B24"/>
    <mergeCell ref="B25:B27"/>
    <mergeCell ref="B28:B30"/>
    <mergeCell ref="B9:B10"/>
    <mergeCell ref="B11:B12"/>
    <mergeCell ref="B13:B1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8D8EB-632E-F041-8678-5E5E20627FA8}">
  <dimension ref="A1:H34"/>
  <sheetViews>
    <sheetView workbookViewId="0">
      <selection activeCell="B2" sqref="B2:F34"/>
    </sheetView>
  </sheetViews>
  <sheetFormatPr baseColWidth="10" defaultRowHeight="16" x14ac:dyDescent="0.2"/>
  <cols>
    <col min="1" max="1" width="18.33203125" style="17" bestFit="1" customWidth="1"/>
    <col min="2" max="2" width="15.83203125" style="17" customWidth="1"/>
    <col min="3" max="3" width="13" style="17" customWidth="1"/>
    <col min="4" max="4" width="11.5" style="17" customWidth="1"/>
    <col min="5" max="5" width="14.83203125" style="17" customWidth="1"/>
    <col min="6" max="6" width="15.6640625" customWidth="1"/>
  </cols>
  <sheetData>
    <row r="1" spans="1:8" ht="17" thickBot="1" x14ac:dyDescent="0.25"/>
    <row r="2" spans="1:8" ht="61" customHeight="1" thickBot="1" x14ac:dyDescent="0.3">
      <c r="A2" s="16"/>
      <c r="B2" s="27" t="s">
        <v>88</v>
      </c>
      <c r="C2" s="28" t="s">
        <v>98</v>
      </c>
      <c r="D2" s="28" t="s">
        <v>100</v>
      </c>
      <c r="E2" s="28" t="s">
        <v>117</v>
      </c>
      <c r="F2" s="28" t="s">
        <v>118</v>
      </c>
    </row>
    <row r="3" spans="1:8" ht="22" thickBot="1" x14ac:dyDescent="0.3">
      <c r="A3" s="16"/>
      <c r="B3" s="29" t="s">
        <v>102</v>
      </c>
      <c r="C3" s="30"/>
      <c r="D3" s="30">
        <v>-2.3999999999999998E-3</v>
      </c>
      <c r="E3" s="37">
        <v>-2.62276815566711E-3</v>
      </c>
      <c r="F3" s="37">
        <v>-2.2499881254843101E-3</v>
      </c>
    </row>
    <row r="4" spans="1:8" ht="22" thickBot="1" x14ac:dyDescent="0.3">
      <c r="A4" s="16"/>
      <c r="B4" s="29" t="s">
        <v>103</v>
      </c>
      <c r="C4" s="30"/>
      <c r="D4" s="30">
        <v>-1.5E-3</v>
      </c>
      <c r="E4" s="37">
        <v>-1.7388E-3</v>
      </c>
      <c r="F4" s="37">
        <v>-1.3106000000000001E-3</v>
      </c>
      <c r="H4" s="38"/>
    </row>
    <row r="5" spans="1:8" ht="22" thickBot="1" x14ac:dyDescent="0.3">
      <c r="A5" s="16"/>
      <c r="B5" s="29" t="s">
        <v>104</v>
      </c>
      <c r="C5" s="30"/>
      <c r="D5" s="30">
        <v>-1.1000000000000001E-3</v>
      </c>
      <c r="E5" s="37">
        <v>-1.3020880420094301E-3</v>
      </c>
      <c r="F5" s="37">
        <v>-8.4177865444397498E-4</v>
      </c>
      <c r="H5" s="38"/>
    </row>
    <row r="6" spans="1:8" ht="22" thickBot="1" x14ac:dyDescent="0.3">
      <c r="A6" s="16"/>
      <c r="B6" s="29" t="s">
        <v>105</v>
      </c>
      <c r="C6" s="30"/>
      <c r="D6" s="30">
        <v>-6.1999999999999998E-3</v>
      </c>
      <c r="E6" s="37">
        <v>-6.6179000000000003E-3</v>
      </c>
      <c r="F6" s="37">
        <v>-5.8126000000000002E-3</v>
      </c>
      <c r="H6" s="38"/>
    </row>
    <row r="7" spans="1:8" ht="22" thickBot="1" x14ac:dyDescent="0.3">
      <c r="A7" s="16"/>
      <c r="B7" s="29" t="s">
        <v>106</v>
      </c>
      <c r="C7" s="30"/>
      <c r="D7" s="30">
        <v>-1.9E-3</v>
      </c>
      <c r="E7" s="37">
        <v>-2.4331940000000001E-3</v>
      </c>
      <c r="F7" s="37">
        <v>-1.330576E-3</v>
      </c>
    </row>
    <row r="8" spans="1:8" ht="18" thickBot="1" x14ac:dyDescent="0.25">
      <c r="B8" s="29" t="s">
        <v>107</v>
      </c>
      <c r="C8" s="30"/>
      <c r="D8" s="30">
        <v>-3.7000000000000002E-3</v>
      </c>
      <c r="E8" s="37">
        <v>-4.1499650000000003E-3</v>
      </c>
      <c r="F8" s="37">
        <v>-3.2699069999999998E-3</v>
      </c>
    </row>
    <row r="9" spans="1:8" ht="18" thickBot="1" x14ac:dyDescent="0.25">
      <c r="B9" s="33" t="s">
        <v>108</v>
      </c>
      <c r="C9" s="30" t="s">
        <v>109</v>
      </c>
      <c r="D9" s="30">
        <v>-3.0999999999999999E-3</v>
      </c>
      <c r="E9" s="37">
        <v>-3.28358021687503E-3</v>
      </c>
      <c r="F9" s="37">
        <v>-2.8961442172402898E-3</v>
      </c>
    </row>
    <row r="10" spans="1:8" ht="18" thickBot="1" x14ac:dyDescent="0.25">
      <c r="B10" s="34"/>
      <c r="C10" s="30" t="s">
        <v>110</v>
      </c>
      <c r="D10" s="30">
        <v>-2.0999999999999999E-3</v>
      </c>
      <c r="E10" s="37">
        <v>-2.3024413000937499E-3</v>
      </c>
      <c r="F10" s="37">
        <v>-1.90779397244184E-3</v>
      </c>
    </row>
    <row r="11" spans="1:8" ht="18" thickBot="1" x14ac:dyDescent="0.25">
      <c r="B11" s="35" t="s">
        <v>120</v>
      </c>
      <c r="C11" s="30" t="s">
        <v>109</v>
      </c>
      <c r="D11" s="37">
        <v>-2.3135376444193001E-3</v>
      </c>
      <c r="E11" s="37">
        <v>-2.5139420636251502E-3</v>
      </c>
      <c r="F11" s="37">
        <v>-2.08991699276115E-3</v>
      </c>
    </row>
    <row r="12" spans="1:8" ht="18" thickBot="1" x14ac:dyDescent="0.25">
      <c r="B12" s="34"/>
      <c r="C12" s="30" t="s">
        <v>110</v>
      </c>
      <c r="D12" s="37">
        <v>-7.6712419960910799E-4</v>
      </c>
      <c r="E12" s="37">
        <v>-9.7542586846851599E-4</v>
      </c>
      <c r="F12" s="37">
        <v>-5.32012E-4</v>
      </c>
    </row>
    <row r="13" spans="1:8" ht="18" customHeight="1" thickBot="1" x14ac:dyDescent="0.25">
      <c r="B13" s="35" t="s">
        <v>121</v>
      </c>
      <c r="C13" s="30" t="s">
        <v>109</v>
      </c>
      <c r="D13" s="37">
        <v>-1.41887597512212E-3</v>
      </c>
      <c r="E13" s="37">
        <v>-1.6566487512858E-3</v>
      </c>
      <c r="F13" s="37">
        <v>-1.2115390256739499E-3</v>
      </c>
    </row>
    <row r="14" spans="1:8" ht="18" thickBot="1" x14ac:dyDescent="0.25">
      <c r="B14" s="34"/>
      <c r="C14" s="30" t="s">
        <v>110</v>
      </c>
      <c r="D14" s="37">
        <v>-9.8986409070860189E-4</v>
      </c>
      <c r="E14" s="37">
        <v>-1.2281072738748E-3</v>
      </c>
      <c r="F14" s="37">
        <v>-7.6918176648199503E-4</v>
      </c>
    </row>
    <row r="15" spans="1:8" ht="18" thickBot="1" x14ac:dyDescent="0.25">
      <c r="B15" s="35" t="s">
        <v>111</v>
      </c>
      <c r="C15" s="30" t="s">
        <v>109</v>
      </c>
      <c r="D15" s="30">
        <v>-6.1999999999999998E-3</v>
      </c>
      <c r="E15" s="37">
        <v>-6.6E-3</v>
      </c>
      <c r="F15" s="37">
        <v>-5.7000000000000002E-3</v>
      </c>
    </row>
    <row r="16" spans="1:8" ht="18" thickBot="1" x14ac:dyDescent="0.25">
      <c r="B16" s="34"/>
      <c r="C16" s="30" t="s">
        <v>110</v>
      </c>
      <c r="D16" s="30">
        <v>-6.1999999999999998E-3</v>
      </c>
      <c r="E16" s="37">
        <v>-6.7000000000000002E-3</v>
      </c>
      <c r="F16" s="37">
        <v>-5.7999999999999996E-3</v>
      </c>
    </row>
    <row r="17" spans="2:6" ht="18" thickBot="1" x14ac:dyDescent="0.25">
      <c r="B17" s="35" t="s">
        <v>112</v>
      </c>
      <c r="C17" s="30" t="s">
        <v>109</v>
      </c>
      <c r="D17" s="30">
        <v>-1.9E-3</v>
      </c>
      <c r="E17" s="37">
        <v>-2.466789E-3</v>
      </c>
      <c r="F17" s="37">
        <v>-1.3991640000000001E-3</v>
      </c>
    </row>
    <row r="18" spans="2:6" ht="18" thickBot="1" x14ac:dyDescent="0.25">
      <c r="B18" s="34"/>
      <c r="C18" s="30" t="s">
        <v>110</v>
      </c>
      <c r="D18" s="30">
        <v>-1.1999999999999999E-3</v>
      </c>
      <c r="E18" s="37">
        <v>-1.7447039999999999E-3</v>
      </c>
      <c r="F18" s="37">
        <v>-6.4323500000000003E-4</v>
      </c>
    </row>
    <row r="19" spans="2:6" ht="18" thickBot="1" x14ac:dyDescent="0.25">
      <c r="B19" s="35" t="s">
        <v>119</v>
      </c>
      <c r="C19" s="30" t="s">
        <v>109</v>
      </c>
      <c r="D19" s="30">
        <v>-2.8999999999999998E-3</v>
      </c>
      <c r="E19" s="37">
        <v>-3.3684740000000002E-3</v>
      </c>
      <c r="F19" s="37">
        <v>-2.4712480000000001E-3</v>
      </c>
    </row>
    <row r="20" spans="2:6" ht="18" thickBot="1" x14ac:dyDescent="0.25">
      <c r="B20" s="34"/>
      <c r="C20" s="30" t="s">
        <v>110</v>
      </c>
      <c r="D20" s="30">
        <v>-3.5000000000000001E-3</v>
      </c>
      <c r="E20" s="37">
        <v>-3.9027699999999999E-3</v>
      </c>
      <c r="F20" s="37">
        <v>-3.0238999999999999E-3</v>
      </c>
    </row>
    <row r="21" spans="2:6" ht="18" thickBot="1" x14ac:dyDescent="0.25">
      <c r="B21" s="35" t="s">
        <v>2</v>
      </c>
      <c r="C21" s="30" t="s">
        <v>5</v>
      </c>
      <c r="D21" s="30">
        <v>-2E-3</v>
      </c>
      <c r="E21" s="37">
        <v>-2.3554689999999998E-3</v>
      </c>
      <c r="F21" s="37">
        <v>-1.6737620000000001E-3</v>
      </c>
    </row>
    <row r="22" spans="2:6" ht="18" thickBot="1" x14ac:dyDescent="0.25">
      <c r="B22" s="32"/>
      <c r="C22" s="30" t="s">
        <v>17</v>
      </c>
      <c r="D22" s="30">
        <v>-2.5000000000000001E-3</v>
      </c>
      <c r="E22" s="37">
        <v>-2.8884900000000001E-3</v>
      </c>
      <c r="F22" s="37">
        <v>-2.2266059999999999E-3</v>
      </c>
    </row>
    <row r="23" spans="2:6" ht="18" thickBot="1" x14ac:dyDescent="0.25">
      <c r="B23" s="32"/>
      <c r="C23" s="30" t="s">
        <v>21</v>
      </c>
      <c r="D23" s="30">
        <v>-2.2000000000000001E-3</v>
      </c>
      <c r="E23" s="37">
        <v>-2.48913E-3</v>
      </c>
      <c r="F23" s="37">
        <v>-1.817356E-3</v>
      </c>
    </row>
    <row r="24" spans="2:6" ht="18" thickBot="1" x14ac:dyDescent="0.25">
      <c r="B24" s="32"/>
      <c r="C24" s="30" t="s">
        <v>8</v>
      </c>
      <c r="D24" s="30">
        <v>-2.3999999999999998E-3</v>
      </c>
      <c r="E24" s="37">
        <v>-2.7396120000000002E-3</v>
      </c>
      <c r="F24" s="37">
        <v>-2.033946E-3</v>
      </c>
    </row>
    <row r="25" spans="2:6" ht="18" thickBot="1" x14ac:dyDescent="0.25">
      <c r="B25" s="34"/>
      <c r="C25" s="30" t="s">
        <v>64</v>
      </c>
      <c r="D25" s="30">
        <v>-3.0999999999999999E-3</v>
      </c>
      <c r="E25" s="37">
        <v>-3.4012600000000001E-3</v>
      </c>
      <c r="F25" s="37">
        <v>-2.7727139999999999E-3</v>
      </c>
    </row>
    <row r="26" spans="2:6" ht="18" thickBot="1" x14ac:dyDescent="0.25">
      <c r="B26" s="35" t="s">
        <v>113</v>
      </c>
      <c r="C26" s="36" t="s">
        <v>5</v>
      </c>
      <c r="D26" s="36">
        <v>7.4000000000000003E-3</v>
      </c>
      <c r="E26" s="39">
        <v>6.4234950000000004E-3</v>
      </c>
      <c r="F26" s="39">
        <v>8.3248479999999993E-3</v>
      </c>
    </row>
    <row r="27" spans="2:6" ht="18" thickBot="1" x14ac:dyDescent="0.25">
      <c r="B27" s="32"/>
      <c r="C27" s="36" t="s">
        <v>114</v>
      </c>
      <c r="D27" s="36">
        <v>-3.0000000000000001E-3</v>
      </c>
      <c r="E27" s="39">
        <v>-3.18097E-3</v>
      </c>
      <c r="F27" s="39">
        <v>-2.8088919999999999E-3</v>
      </c>
    </row>
    <row r="28" spans="2:6" ht="18" thickBot="1" x14ac:dyDescent="0.25">
      <c r="B28" s="34"/>
      <c r="C28" s="36" t="s">
        <v>64</v>
      </c>
      <c r="D28" s="36">
        <v>-2.3E-3</v>
      </c>
      <c r="E28" s="39">
        <v>-2.7693639999999999E-3</v>
      </c>
      <c r="F28" s="39">
        <v>-1.7512999999999999E-3</v>
      </c>
    </row>
    <row r="29" spans="2:6" ht="18" thickBot="1" x14ac:dyDescent="0.25">
      <c r="B29" s="35" t="s">
        <v>115</v>
      </c>
      <c r="C29" s="36" t="s">
        <v>5</v>
      </c>
      <c r="D29" s="36">
        <v>1.5E-3</v>
      </c>
      <c r="E29" s="39">
        <v>3.3519099999999998E-4</v>
      </c>
      <c r="F29" s="39">
        <v>2.4222110000000001E-3</v>
      </c>
    </row>
    <row r="30" spans="2:6" ht="18" thickBot="1" x14ac:dyDescent="0.25">
      <c r="B30" s="32"/>
      <c r="C30" s="36" t="s">
        <v>114</v>
      </c>
      <c r="D30" s="36">
        <v>-1.6999999999999999E-3</v>
      </c>
      <c r="E30" s="39">
        <v>-1.943918E-3</v>
      </c>
      <c r="F30" s="39">
        <v>-1.497083E-3</v>
      </c>
    </row>
    <row r="31" spans="2:6" ht="18" thickBot="1" x14ac:dyDescent="0.25">
      <c r="B31" s="34"/>
      <c r="C31" s="36" t="s">
        <v>64</v>
      </c>
      <c r="D31" s="36">
        <v>-1E-3</v>
      </c>
      <c r="E31" s="39">
        <v>-1.5790606E-3</v>
      </c>
      <c r="F31" s="39">
        <v>-4.3915639999999998E-4</v>
      </c>
    </row>
    <row r="32" spans="2:6" ht="18" thickBot="1" x14ac:dyDescent="0.25">
      <c r="B32" s="35" t="s">
        <v>116</v>
      </c>
      <c r="C32" s="36" t="s">
        <v>5</v>
      </c>
      <c r="D32" s="36">
        <v>-7.4999999999999997E-3</v>
      </c>
      <c r="E32" s="39">
        <v>-8.5837399999999994E-3</v>
      </c>
      <c r="F32" s="39">
        <v>-6.568267E-3</v>
      </c>
    </row>
    <row r="33" spans="2:6" ht="18" thickBot="1" x14ac:dyDescent="0.25">
      <c r="B33" s="32"/>
      <c r="C33" s="30" t="s">
        <v>114</v>
      </c>
      <c r="D33" s="30">
        <v>-8.0000000000000004E-4</v>
      </c>
      <c r="E33" s="37">
        <v>-1.034898E-3</v>
      </c>
      <c r="F33" s="37">
        <v>-6.0696950000000002E-4</v>
      </c>
    </row>
    <row r="34" spans="2:6" ht="18" thickBot="1" x14ac:dyDescent="0.25">
      <c r="B34" s="34"/>
      <c r="C34" s="30" t="s">
        <v>64</v>
      </c>
      <c r="D34" s="30">
        <v>1.1000000000000001E-3</v>
      </c>
      <c r="E34" s="37">
        <v>5.7308610000000003E-4</v>
      </c>
      <c r="F34" s="37">
        <v>1.6508702000000001E-3</v>
      </c>
    </row>
  </sheetData>
  <mergeCells count="10">
    <mergeCell ref="B29:B31"/>
    <mergeCell ref="B32:B34"/>
    <mergeCell ref="B11:B12"/>
    <mergeCell ref="B13:B14"/>
    <mergeCell ref="B9:B10"/>
    <mergeCell ref="B15:B16"/>
    <mergeCell ref="B17:B18"/>
    <mergeCell ref="B19:B20"/>
    <mergeCell ref="B21:B25"/>
    <mergeCell ref="B26:B2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6A2FE-8D83-034D-9827-4A219364E6EB}">
  <dimension ref="B3:J35"/>
  <sheetViews>
    <sheetView tabSelected="1" workbookViewId="0">
      <selection activeCell="I7" sqref="I7"/>
    </sheetView>
  </sheetViews>
  <sheetFormatPr baseColWidth="10" defaultRowHeight="16" x14ac:dyDescent="0.2"/>
  <cols>
    <col min="2" max="2" width="19.33203125" style="58" customWidth="1"/>
    <col min="3" max="5" width="10.1640625" style="58" customWidth="1"/>
    <col min="6" max="6" width="8.1640625" style="58" customWidth="1"/>
    <col min="7" max="7" width="10.1640625" style="58" customWidth="1"/>
    <col min="8" max="8" width="10.5" bestFit="1" customWidth="1"/>
    <col min="10" max="10" width="14" customWidth="1"/>
  </cols>
  <sheetData>
    <row r="3" spans="2:10" ht="35" customHeight="1" x14ac:dyDescent="0.2">
      <c r="B3" s="59" t="s">
        <v>88</v>
      </c>
      <c r="C3" s="59" t="s">
        <v>122</v>
      </c>
      <c r="D3" s="59" t="s">
        <v>125</v>
      </c>
      <c r="E3" s="59" t="s">
        <v>126</v>
      </c>
      <c r="F3" s="59" t="s">
        <v>127</v>
      </c>
      <c r="G3" s="59" t="s">
        <v>132</v>
      </c>
      <c r="H3" s="48"/>
      <c r="I3" s="45" t="s">
        <v>128</v>
      </c>
      <c r="J3" s="46"/>
    </row>
    <row r="4" spans="2:10" ht="17" x14ac:dyDescent="0.2">
      <c r="B4" s="40" t="s">
        <v>102</v>
      </c>
      <c r="C4" s="40">
        <v>-2.3999999999999998E-3</v>
      </c>
      <c r="D4" s="60">
        <f>((($J$5-$I$5)/$I$5)^(1/3))</f>
        <v>0.93102424782897486</v>
      </c>
      <c r="E4" s="60">
        <f>D4+(C4*10)</f>
        <v>0.90702424782897484</v>
      </c>
      <c r="F4" s="61">
        <f>((E4^3)*$I$5)+$I$5</f>
        <v>99.533541756527384</v>
      </c>
      <c r="G4" s="62">
        <f>(F4- $J$5)</f>
        <v>-3.4664582434726157</v>
      </c>
      <c r="H4" s="57"/>
      <c r="I4" s="44" t="s">
        <v>123</v>
      </c>
      <c r="J4" s="44" t="s">
        <v>124</v>
      </c>
    </row>
    <row r="5" spans="2:10" ht="17" x14ac:dyDescent="0.2">
      <c r="B5" s="40" t="s">
        <v>103</v>
      </c>
      <c r="C5" s="40">
        <v>-1.5E-3</v>
      </c>
      <c r="D5" s="60">
        <f>((($J$5-$I$5)/$I$5)^(1/3))</f>
        <v>0.93102424782897486</v>
      </c>
      <c r="E5" s="60">
        <f t="shared" ref="E5:E35" si="0">D5+(C5*10)</f>
        <v>0.91602424782897485</v>
      </c>
      <c r="F5" s="61">
        <f>((E5^3)*$I$5)+$I$5</f>
        <v>100.81227100806848</v>
      </c>
      <c r="G5" s="62">
        <f>(F5- $J$5)</f>
        <v>-2.1877289919315217</v>
      </c>
      <c r="H5" s="57"/>
      <c r="I5" s="44">
        <v>57</v>
      </c>
      <c r="J5" s="44">
        <v>103</v>
      </c>
    </row>
    <row r="6" spans="2:10" ht="17" x14ac:dyDescent="0.2">
      <c r="B6" s="40" t="s">
        <v>104</v>
      </c>
      <c r="C6" s="40">
        <v>-1.1000000000000001E-3</v>
      </c>
      <c r="D6" s="60">
        <f>((($J$5-$I$5)/$I$5)^(1/3))</f>
        <v>0.93102424782897486</v>
      </c>
      <c r="E6" s="60">
        <f t="shared" si="0"/>
        <v>0.92002424782897485</v>
      </c>
      <c r="F6" s="61">
        <f>((E6^3)*$I$5)+$I$5</f>
        <v>101.38872558747622</v>
      </c>
      <c r="G6" s="62">
        <f>(F6- $J$5)</f>
        <v>-1.6112744125237839</v>
      </c>
      <c r="H6" s="57"/>
    </row>
    <row r="7" spans="2:10" ht="23" x14ac:dyDescent="0.2">
      <c r="B7" s="40" t="s">
        <v>105</v>
      </c>
      <c r="C7" s="40">
        <v>-6.1999999999999998E-3</v>
      </c>
      <c r="D7" s="60">
        <f>((($J$5-$I$5)/$I$5)^(1/3))</f>
        <v>0.93102424782897486</v>
      </c>
      <c r="E7" s="60">
        <f t="shared" si="0"/>
        <v>0.86902424782897492</v>
      </c>
      <c r="F7" s="61">
        <f>((E7^3)*$I$5)+$I$5</f>
        <v>94.408521083897455</v>
      </c>
      <c r="G7" s="62">
        <f>(F7- $J$5)</f>
        <v>-8.5914789161025453</v>
      </c>
      <c r="H7" s="57"/>
      <c r="I7" s="47" t="s">
        <v>129</v>
      </c>
    </row>
    <row r="8" spans="2:10" ht="17" x14ac:dyDescent="0.2">
      <c r="B8" s="40" t="s">
        <v>106</v>
      </c>
      <c r="C8" s="40">
        <v>-1.9E-3</v>
      </c>
      <c r="D8" s="60">
        <f>((($J$5-$I$5)/$I$5)^(1/3))</f>
        <v>0.93102424782897486</v>
      </c>
      <c r="E8" s="60">
        <f t="shared" si="0"/>
        <v>0.91202424782897484</v>
      </c>
      <c r="F8" s="61">
        <f>((E8^3)*$I$5)+$I$5</f>
        <v>100.24082891334487</v>
      </c>
      <c r="G8" s="62">
        <f>(F8- $J$5)</f>
        <v>-2.7591710866551296</v>
      </c>
      <c r="H8" s="57"/>
    </row>
    <row r="9" spans="2:10" ht="30" customHeight="1" x14ac:dyDescent="0.2">
      <c r="B9" s="40" t="s">
        <v>107</v>
      </c>
      <c r="C9" s="40">
        <v>-3.7000000000000002E-3</v>
      </c>
      <c r="D9" s="60">
        <f>((($J$5-$I$5)/$I$5)^(1/3))</f>
        <v>0.93102424782897486</v>
      </c>
      <c r="E9" s="60">
        <f t="shared" si="0"/>
        <v>0.89402424782897483</v>
      </c>
      <c r="F9" s="61">
        <f>((E9^3)*$I$5)+$I$5</f>
        <v>97.730782113054573</v>
      </c>
      <c r="G9" s="62">
        <f>(F9- $J$5)</f>
        <v>-5.2692178869454267</v>
      </c>
      <c r="H9" s="57"/>
    </row>
    <row r="10" spans="2:10" ht="16" customHeight="1" x14ac:dyDescent="0.2">
      <c r="B10" s="41" t="s">
        <v>108</v>
      </c>
      <c r="C10" s="40">
        <v>-3.0999999999999999E-3</v>
      </c>
      <c r="D10" s="60">
        <f>((($J$5-$I$5)/$I$5)^(1/3))</f>
        <v>0.93102424782897486</v>
      </c>
      <c r="E10" s="60">
        <f t="shared" si="0"/>
        <v>0.90002424782897483</v>
      </c>
      <c r="F10" s="61">
        <f>((E10^3)*$I$5)+$I$5</f>
        <v>98.556358657278736</v>
      </c>
      <c r="G10" s="62">
        <f>(F10- $J$5)</f>
        <v>-4.4436413427212642</v>
      </c>
      <c r="H10" s="57"/>
    </row>
    <row r="11" spans="2:10" ht="30" customHeight="1" x14ac:dyDescent="0.2">
      <c r="B11" s="41"/>
      <c r="C11" s="40">
        <v>-2.0999999999999999E-3</v>
      </c>
      <c r="D11" s="60">
        <f>((($J$5-$I$5)/$I$5)^(1/3))</f>
        <v>0.93102424782897486</v>
      </c>
      <c r="E11" s="60">
        <f t="shared" si="0"/>
        <v>0.91002424782897484</v>
      </c>
      <c r="F11" s="61">
        <f>((E11^3)*$I$5)+$I$5</f>
        <v>99.956980707739604</v>
      </c>
      <c r="G11" s="62">
        <f>(F11- $J$5)</f>
        <v>-3.0430192922603965</v>
      </c>
      <c r="H11" s="57"/>
    </row>
    <row r="12" spans="2:10" ht="16" customHeight="1" x14ac:dyDescent="0.2">
      <c r="B12" s="41" t="s">
        <v>120</v>
      </c>
      <c r="C12" s="42">
        <v>-2.3135376444193001E-3</v>
      </c>
      <c r="D12" s="60">
        <f>((($J$5-$I$5)/$I$5)^(1/3))</f>
        <v>0.93102424782897486</v>
      </c>
      <c r="E12" s="60">
        <f t="shared" si="0"/>
        <v>0.90788887138478191</v>
      </c>
      <c r="F12" s="61">
        <f>((E12^3)*$I$5)+$I$5</f>
        <v>99.655293417627135</v>
      </c>
      <c r="G12" s="62">
        <f>(F12- $J$5)</f>
        <v>-3.344706582372865</v>
      </c>
      <c r="H12" s="57"/>
    </row>
    <row r="13" spans="2:10" ht="30" customHeight="1" x14ac:dyDescent="0.2">
      <c r="B13" s="41"/>
      <c r="C13" s="42">
        <v>-7.6712419960910799E-4</v>
      </c>
      <c r="D13" s="60">
        <f>((($J$5-$I$5)/$I$5)^(1/3))</f>
        <v>0.93102424782897486</v>
      </c>
      <c r="E13" s="60">
        <f t="shared" si="0"/>
        <v>0.92335300583288382</v>
      </c>
      <c r="F13" s="61">
        <f>((E13^3)*$I$5)+$I$5</f>
        <v>101.87228212953033</v>
      </c>
      <c r="G13" s="62">
        <f>(F13- $J$5)</f>
        <v>-1.1277178704696667</v>
      </c>
      <c r="H13" s="57"/>
    </row>
    <row r="14" spans="2:10" ht="16" customHeight="1" x14ac:dyDescent="0.2">
      <c r="B14" s="41" t="s">
        <v>121</v>
      </c>
      <c r="C14" s="42">
        <v>-1.41887597512212E-3</v>
      </c>
      <c r="D14" s="60">
        <f>((($J$5-$I$5)/$I$5)^(1/3))</f>
        <v>0.93102424782897486</v>
      </c>
      <c r="E14" s="60">
        <f t="shared" si="0"/>
        <v>0.91683548807775361</v>
      </c>
      <c r="F14" s="61">
        <f>((E14^3)*$I$5)+$I$5</f>
        <v>100.92877588314855</v>
      </c>
      <c r="G14" s="62">
        <f>(F14- $J$5)</f>
        <v>-2.0712241168514538</v>
      </c>
      <c r="H14" s="57"/>
    </row>
    <row r="15" spans="2:10" x14ac:dyDescent="0.2">
      <c r="B15" s="41"/>
      <c r="C15" s="42">
        <v>-9.8986409070860189E-4</v>
      </c>
      <c r="D15" s="60">
        <f>((($J$5-$I$5)/$I$5)^(1/3))</f>
        <v>0.93102424782897486</v>
      </c>
      <c r="E15" s="60">
        <f t="shared" si="0"/>
        <v>0.92112560692188883</v>
      </c>
      <c r="F15" s="61">
        <f>((E15^3)*$I$5)+$I$5</f>
        <v>101.54832944678014</v>
      </c>
      <c r="G15" s="62">
        <f>(F15- $J$5)</f>
        <v>-1.4516705532198557</v>
      </c>
      <c r="H15" s="57"/>
    </row>
    <row r="16" spans="2:10" ht="16" customHeight="1" x14ac:dyDescent="0.2">
      <c r="B16" s="41" t="s">
        <v>111</v>
      </c>
      <c r="C16" s="40">
        <v>-6.1999999999999998E-3</v>
      </c>
      <c r="D16" s="60">
        <f>((($J$5-$I$5)/$I$5)^(1/3))</f>
        <v>0.93102424782897486</v>
      </c>
      <c r="E16" s="60">
        <f t="shared" si="0"/>
        <v>0.86902424782897492</v>
      </c>
      <c r="F16" s="61">
        <f>((E16^3)*$I$5)+$I$5</f>
        <v>94.408521083897455</v>
      </c>
      <c r="G16" s="62">
        <f>(F16- $J$5)</f>
        <v>-8.5914789161025453</v>
      </c>
      <c r="H16" s="57"/>
    </row>
    <row r="17" spans="2:8" x14ac:dyDescent="0.2">
      <c r="B17" s="41"/>
      <c r="C17" s="40">
        <v>-6.1999999999999998E-3</v>
      </c>
      <c r="D17" s="60">
        <f>((($J$5-$I$5)/$I$5)^(1/3))</f>
        <v>0.93102424782897486</v>
      </c>
      <c r="E17" s="60">
        <f t="shared" si="0"/>
        <v>0.86902424782897492</v>
      </c>
      <c r="F17" s="61">
        <f>((E17^3)*$I$5)+$I$5</f>
        <v>94.408521083897455</v>
      </c>
      <c r="G17" s="62">
        <f>(F17- $J$5)</f>
        <v>-8.5914789161025453</v>
      </c>
      <c r="H17" s="57"/>
    </row>
    <row r="18" spans="2:8" ht="16" customHeight="1" x14ac:dyDescent="0.2">
      <c r="B18" s="41" t="s">
        <v>112</v>
      </c>
      <c r="C18" s="40">
        <v>-1.9E-3</v>
      </c>
      <c r="D18" s="60">
        <f>((($J$5-$I$5)/$I$5)^(1/3))</f>
        <v>0.93102424782897486</v>
      </c>
      <c r="E18" s="60">
        <f t="shared" si="0"/>
        <v>0.91202424782897484</v>
      </c>
      <c r="F18" s="61">
        <f>((E18^3)*$I$5)+$I$5</f>
        <v>100.24082891334487</v>
      </c>
      <c r="G18" s="62">
        <f>(F18- $J$5)</f>
        <v>-2.7591710866551296</v>
      </c>
      <c r="H18" s="57"/>
    </row>
    <row r="19" spans="2:8" x14ac:dyDescent="0.2">
      <c r="B19" s="41"/>
      <c r="C19" s="40">
        <v>-1.1999999999999999E-3</v>
      </c>
      <c r="D19" s="60">
        <f>((($J$5-$I$5)/$I$5)^(1/3))</f>
        <v>0.93102424782897486</v>
      </c>
      <c r="E19" s="60">
        <f t="shared" si="0"/>
        <v>0.91902424782897485</v>
      </c>
      <c r="F19" s="61">
        <f>((E19^3)*$I$5)+$I$5</f>
        <v>101.24414082518516</v>
      </c>
      <c r="G19" s="62">
        <f>(F19- $J$5)</f>
        <v>-1.7558591748148444</v>
      </c>
      <c r="H19" s="57"/>
    </row>
    <row r="20" spans="2:8" ht="16" customHeight="1" x14ac:dyDescent="0.2">
      <c r="B20" s="41" t="s">
        <v>119</v>
      </c>
      <c r="C20" s="40">
        <v>-2.8999999999999998E-3</v>
      </c>
      <c r="D20" s="60">
        <f>((($J$5-$I$5)/$I$5)^(1/3))</f>
        <v>0.93102424782897486</v>
      </c>
      <c r="E20" s="60">
        <f t="shared" si="0"/>
        <v>0.90202424782897483</v>
      </c>
      <c r="F20" s="61">
        <f>((E20^3)*$I$5)+$I$5</f>
        <v>98.834009657028844</v>
      </c>
      <c r="G20" s="62">
        <f>(F20- $J$5)</f>
        <v>-4.1659903429711562</v>
      </c>
      <c r="H20" s="57"/>
    </row>
    <row r="21" spans="2:8" x14ac:dyDescent="0.2">
      <c r="B21" s="41"/>
      <c r="C21" s="40">
        <v>-3.5000000000000001E-3</v>
      </c>
      <c r="D21" s="60">
        <f>((($J$5-$I$5)/$I$5)^(1/3))</f>
        <v>0.93102424782897486</v>
      </c>
      <c r="E21" s="60">
        <f t="shared" si="0"/>
        <v>0.89602424782897483</v>
      </c>
      <c r="F21" s="61">
        <f>((E21^3)*$I$5)+$I$5</f>
        <v>98.004747621291585</v>
      </c>
      <c r="G21" s="62">
        <f>(F21- $J$5)</f>
        <v>-4.9952523787084147</v>
      </c>
      <c r="H21" s="57"/>
    </row>
    <row r="22" spans="2:8" ht="16" customHeight="1" x14ac:dyDescent="0.2">
      <c r="B22" s="41" t="s">
        <v>2</v>
      </c>
      <c r="C22" s="40">
        <v>-2E-3</v>
      </c>
      <c r="D22" s="60">
        <f>((($J$5-$I$5)/$I$5)^(1/3))</f>
        <v>0.93102424782897486</v>
      </c>
      <c r="E22" s="60">
        <f t="shared" si="0"/>
        <v>0.91102424782897484</v>
      </c>
      <c r="F22" s="61">
        <f>((E22^3)*$I$5)+$I$5</f>
        <v>100.09874902539585</v>
      </c>
      <c r="G22" s="62">
        <f>(F22- $J$5)</f>
        <v>-2.901250974604153</v>
      </c>
      <c r="H22" s="57"/>
    </row>
    <row r="23" spans="2:8" x14ac:dyDescent="0.2">
      <c r="B23" s="41"/>
      <c r="C23" s="40">
        <v>-2.5000000000000001E-3</v>
      </c>
      <c r="D23" s="60">
        <f>((($J$5-$I$5)/$I$5)^(1/3))</f>
        <v>0.93102424782897486</v>
      </c>
      <c r="E23" s="60">
        <f t="shared" si="0"/>
        <v>0.90602424782897484</v>
      </c>
      <c r="F23" s="61">
        <f>((E23^3)*$I$5)+$I$5</f>
        <v>99.393016300042163</v>
      </c>
      <c r="G23" s="62">
        <f>(F23- $J$5)</f>
        <v>-3.6069836999578371</v>
      </c>
      <c r="H23" s="57"/>
    </row>
    <row r="24" spans="2:8" x14ac:dyDescent="0.2">
      <c r="B24" s="41"/>
      <c r="C24" s="40">
        <v>-2.2000000000000001E-3</v>
      </c>
      <c r="D24" s="60">
        <f>((($J$5-$I$5)/$I$5)^(1/3))</f>
        <v>0.93102424782897486</v>
      </c>
      <c r="E24" s="60">
        <f t="shared" si="0"/>
        <v>0.90902424782897484</v>
      </c>
      <c r="F24" s="61">
        <f>((E24^3)*$I$5)+$I$5</f>
        <v>99.815523618376105</v>
      </c>
      <c r="G24" s="62">
        <f>(F24- $J$5)</f>
        <v>-3.1844763816238952</v>
      </c>
      <c r="H24" s="57"/>
    </row>
    <row r="25" spans="2:8" x14ac:dyDescent="0.2">
      <c r="B25" s="41"/>
      <c r="C25" s="40">
        <v>-2.3999999999999998E-3</v>
      </c>
      <c r="D25" s="60">
        <f>((($J$5-$I$5)/$I$5)^(1/3))</f>
        <v>0.93102424782897486</v>
      </c>
      <c r="E25" s="60">
        <f t="shared" si="0"/>
        <v>0.90702424782897484</v>
      </c>
      <c r="F25" s="61">
        <f>((E25^3)*$I$5)+$I$5</f>
        <v>99.533541756527384</v>
      </c>
      <c r="G25" s="62">
        <f>(F25- $J$5)</f>
        <v>-3.4664582434726157</v>
      </c>
      <c r="H25" s="57"/>
    </row>
    <row r="26" spans="2:8" x14ac:dyDescent="0.2">
      <c r="B26" s="41"/>
      <c r="C26" s="40">
        <v>-3.0999999999999999E-3</v>
      </c>
      <c r="D26" s="60">
        <f>((($J$5-$I$5)/$I$5)^(1/3))</f>
        <v>0.93102424782897486</v>
      </c>
      <c r="E26" s="60">
        <f t="shared" si="0"/>
        <v>0.90002424782897483</v>
      </c>
      <c r="F26" s="61">
        <f>((E26^3)*$I$5)+$I$5</f>
        <v>98.556358657278736</v>
      </c>
      <c r="G26" s="62">
        <f>(F26- $J$5)</f>
        <v>-4.4436413427212642</v>
      </c>
      <c r="H26" s="57"/>
    </row>
    <row r="27" spans="2:8" ht="16" customHeight="1" x14ac:dyDescent="0.2">
      <c r="B27" s="41" t="s">
        <v>113</v>
      </c>
      <c r="C27" s="43">
        <v>7.4000000000000003E-3</v>
      </c>
      <c r="D27" s="60">
        <f>((($J$5-$I$5)/$I$5)^(1/3))</f>
        <v>0.93102424782897486</v>
      </c>
      <c r="E27" s="60">
        <f t="shared" si="0"/>
        <v>1.0050242478289748</v>
      </c>
      <c r="F27" s="61">
        <f>((E27^3)*$I$5)+$I$5</f>
        <v>114.86347017224591</v>
      </c>
      <c r="G27" s="62">
        <f>(F27- $J$5)</f>
        <v>11.863470172245911</v>
      </c>
      <c r="H27" s="57"/>
    </row>
    <row r="28" spans="2:8" x14ac:dyDescent="0.2">
      <c r="B28" s="41"/>
      <c r="C28" s="43">
        <v>-3.0000000000000001E-3</v>
      </c>
      <c r="D28" s="60">
        <f>((($J$5-$I$5)/$I$5)^(1/3))</f>
        <v>0.93102424782897486</v>
      </c>
      <c r="E28" s="60">
        <f t="shared" si="0"/>
        <v>0.90102424782897483</v>
      </c>
      <c r="F28" s="61">
        <f>((E28^3)*$I$5)+$I$5</f>
        <v>98.695030082007406</v>
      </c>
      <c r="G28" s="62">
        <f>(F28- $J$5)</f>
        <v>-4.3049699179925938</v>
      </c>
      <c r="H28" s="57"/>
    </row>
    <row r="29" spans="2:8" x14ac:dyDescent="0.2">
      <c r="B29" s="41"/>
      <c r="C29" s="43">
        <v>-2.3E-3</v>
      </c>
      <c r="D29" s="60">
        <f>((($J$5-$I$5)/$I$5)^(1/3))</f>
        <v>0.93102424782897486</v>
      </c>
      <c r="E29" s="60">
        <f t="shared" si="0"/>
        <v>0.90802424782897484</v>
      </c>
      <c r="F29" s="61">
        <f>((E29^3)*$I$5)+$I$5</f>
        <v>99.674377415305372</v>
      </c>
      <c r="G29" s="62">
        <f>(F29- $J$5)</f>
        <v>-3.3256225846946279</v>
      </c>
      <c r="H29" s="57"/>
    </row>
    <row r="30" spans="2:8" ht="16" customHeight="1" x14ac:dyDescent="0.2">
      <c r="B30" s="41" t="s">
        <v>115</v>
      </c>
      <c r="C30" s="43">
        <v>1.5E-3</v>
      </c>
      <c r="D30" s="60">
        <f>((($J$5-$I$5)/$I$5)^(1/3))</f>
        <v>0.93102424782897486</v>
      </c>
      <c r="E30" s="60">
        <f t="shared" si="0"/>
        <v>0.94602424782897487</v>
      </c>
      <c r="F30" s="61">
        <f>((E30^3)*$I$5)+$I$5</f>
        <v>105.25937130780194</v>
      </c>
      <c r="G30" s="62">
        <f>(F30- $J$5)</f>
        <v>2.259371307801942</v>
      </c>
      <c r="H30" s="57"/>
    </row>
    <row r="31" spans="2:8" x14ac:dyDescent="0.2">
      <c r="B31" s="41"/>
      <c r="C31" s="43">
        <v>-1.6999999999999999E-3</v>
      </c>
      <c r="D31" s="60">
        <f>((($J$5-$I$5)/$I$5)^(1/3))</f>
        <v>0.93102424782897486</v>
      </c>
      <c r="E31" s="60">
        <f t="shared" si="0"/>
        <v>0.91402424782897485</v>
      </c>
      <c r="F31" s="61">
        <f>((E31^3)*$I$5)+$I$5</f>
        <v>100.52592476812116</v>
      </c>
      <c r="G31" s="62">
        <f>(F31- $J$5)</f>
        <v>-2.4740752318788424</v>
      </c>
      <c r="H31" s="57"/>
    </row>
    <row r="32" spans="2:8" x14ac:dyDescent="0.2">
      <c r="B32" s="41"/>
      <c r="C32" s="43">
        <v>-1E-3</v>
      </c>
      <c r="D32" s="60">
        <f>((($J$5-$I$5)/$I$5)^(1/3))</f>
        <v>0.93102424782897486</v>
      </c>
      <c r="E32" s="60">
        <f t="shared" si="0"/>
        <v>0.92102424782897485</v>
      </c>
      <c r="F32" s="61">
        <f>((E32^3)*$I$5)+$I$5</f>
        <v>101.53362499806005</v>
      </c>
      <c r="G32" s="62">
        <f>(F32- $J$5)</f>
        <v>-1.4663750019399515</v>
      </c>
      <c r="H32" s="57"/>
    </row>
    <row r="33" spans="2:8" ht="16" customHeight="1" x14ac:dyDescent="0.2">
      <c r="B33" s="41" t="s">
        <v>116</v>
      </c>
      <c r="C33" s="43">
        <v>-7.4999999999999997E-3</v>
      </c>
      <c r="D33" s="60">
        <f>((($J$5-$I$5)/$I$5)^(1/3))</f>
        <v>0.93102424782897486</v>
      </c>
      <c r="E33" s="60">
        <f t="shared" si="0"/>
        <v>0.8560242478289749</v>
      </c>
      <c r="F33" s="61">
        <f>((E33^3)*$I$5)+$I$5</f>
        <v>92.754693199046841</v>
      </c>
      <c r="G33" s="62">
        <f>(F33- $J$5)</f>
        <v>-10.245306800953159</v>
      </c>
      <c r="H33" s="57"/>
    </row>
    <row r="34" spans="2:8" x14ac:dyDescent="0.2">
      <c r="B34" s="41"/>
      <c r="C34" s="40">
        <v>-8.0000000000000004E-4</v>
      </c>
      <c r="D34" s="60">
        <f>((($J$5-$I$5)/$I$5)^(1/3))</f>
        <v>0.93102424782897486</v>
      </c>
      <c r="E34" s="60">
        <f t="shared" si="0"/>
        <v>0.92302424782897485</v>
      </c>
      <c r="F34" s="61">
        <f>((E34^3)*$I$5)+$I$5</f>
        <v>101.82436913210597</v>
      </c>
      <c r="G34" s="62">
        <f>(F34- $J$5)</f>
        <v>-1.1756308678940286</v>
      </c>
      <c r="H34" s="57"/>
    </row>
    <row r="35" spans="2:8" x14ac:dyDescent="0.2">
      <c r="B35" s="41"/>
      <c r="C35" s="40">
        <v>1.1000000000000001E-3</v>
      </c>
      <c r="D35" s="60">
        <f>((($J$5-$I$5)/$I$5)^(1/3))</f>
        <v>0.93102424782897486</v>
      </c>
      <c r="E35" s="60">
        <f t="shared" si="0"/>
        <v>0.94202424782897487</v>
      </c>
      <c r="F35" s="61">
        <f>((E35^3)*$I$5)+$I$5</f>
        <v>104.64980205794743</v>
      </c>
      <c r="G35" s="62">
        <f>(F35- $J$5)</f>
        <v>1.6498020579474257</v>
      </c>
      <c r="H35" s="57"/>
    </row>
  </sheetData>
  <mergeCells count="11">
    <mergeCell ref="B27:B29"/>
    <mergeCell ref="B30:B32"/>
    <mergeCell ref="B33:B35"/>
    <mergeCell ref="I3:J3"/>
    <mergeCell ref="B10:B11"/>
    <mergeCell ref="B12:B13"/>
    <mergeCell ref="B14:B15"/>
    <mergeCell ref="B16:B17"/>
    <mergeCell ref="B18:B19"/>
    <mergeCell ref="B20:B21"/>
    <mergeCell ref="B22:B2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A0316-DDD1-A941-8F6C-1083B521371A}">
  <dimension ref="A1:F24"/>
  <sheetViews>
    <sheetView workbookViewId="0">
      <selection activeCell="E5" sqref="E5"/>
    </sheetView>
  </sheetViews>
  <sheetFormatPr baseColWidth="10" defaultRowHeight="16" x14ac:dyDescent="0.2"/>
  <cols>
    <col min="1" max="1" width="17.33203125" bestFit="1" customWidth="1"/>
    <col min="2" max="2" width="13.83203125" bestFit="1" customWidth="1"/>
    <col min="3" max="3" width="12.6640625" bestFit="1" customWidth="1"/>
    <col min="4" max="4" width="19.5" bestFit="1" customWidth="1"/>
    <col min="5" max="5" width="27.83203125" bestFit="1" customWidth="1"/>
    <col min="6" max="6" width="12.33203125" bestFit="1" customWidth="1"/>
  </cols>
  <sheetData>
    <row r="1" spans="1:6" ht="17" thickBot="1" x14ac:dyDescent="0.25">
      <c r="A1" s="19" t="s">
        <v>61</v>
      </c>
      <c r="B1" s="19"/>
      <c r="C1" s="19"/>
      <c r="D1" s="19"/>
      <c r="E1" s="19"/>
      <c r="F1" s="19"/>
    </row>
    <row r="2" spans="1:6" x14ac:dyDescent="0.2">
      <c r="A2" s="18" t="s">
        <v>0</v>
      </c>
      <c r="B2" s="7" t="s">
        <v>1</v>
      </c>
      <c r="C2" s="7" t="s">
        <v>2</v>
      </c>
      <c r="D2" s="7" t="s">
        <v>87</v>
      </c>
      <c r="E2" s="7" t="s">
        <v>3</v>
      </c>
      <c r="F2" s="7" t="s">
        <v>4</v>
      </c>
    </row>
    <row r="3" spans="1:6" x14ac:dyDescent="0.2">
      <c r="A3" s="15" t="s">
        <v>39</v>
      </c>
      <c r="B3" s="3">
        <v>57027</v>
      </c>
      <c r="C3" s="3" t="s">
        <v>5</v>
      </c>
      <c r="D3" s="14">
        <v>35.631578947368403</v>
      </c>
      <c r="E3" s="3" t="s">
        <v>6</v>
      </c>
      <c r="F3" s="3" t="s">
        <v>7</v>
      </c>
    </row>
    <row r="4" spans="1:6" x14ac:dyDescent="0.2">
      <c r="A4" s="15" t="s">
        <v>47</v>
      </c>
      <c r="B4" s="3">
        <v>81011</v>
      </c>
      <c r="C4" s="3" t="s">
        <v>21</v>
      </c>
      <c r="D4" s="14">
        <v>29.714285714285701</v>
      </c>
      <c r="E4" s="3" t="s">
        <v>26</v>
      </c>
      <c r="F4" s="3" t="s">
        <v>27</v>
      </c>
    </row>
    <row r="5" spans="1:6" x14ac:dyDescent="0.2">
      <c r="A5" s="15" t="s">
        <v>45</v>
      </c>
      <c r="B5" s="3">
        <v>50489</v>
      </c>
      <c r="C5" s="3" t="s">
        <v>5</v>
      </c>
      <c r="D5" s="14">
        <v>24.090909090909101</v>
      </c>
      <c r="E5" s="3" t="s">
        <v>97</v>
      </c>
      <c r="F5" s="3" t="s">
        <v>23</v>
      </c>
    </row>
    <row r="6" spans="1:6" x14ac:dyDescent="0.2">
      <c r="A6" s="15" t="s">
        <v>55</v>
      </c>
      <c r="B6" s="3">
        <v>41773</v>
      </c>
      <c r="C6" s="3" t="s">
        <v>5</v>
      </c>
      <c r="D6" s="14">
        <v>14.7325581395349</v>
      </c>
      <c r="E6" s="3" t="s">
        <v>35</v>
      </c>
      <c r="F6" s="3" t="s">
        <v>36</v>
      </c>
    </row>
    <row r="7" spans="1:6" x14ac:dyDescent="0.2">
      <c r="A7" s="15" t="s">
        <v>49</v>
      </c>
      <c r="B7" s="3">
        <v>77143</v>
      </c>
      <c r="C7" s="3" t="s">
        <v>21</v>
      </c>
      <c r="D7" s="14">
        <v>14.6666666666667</v>
      </c>
      <c r="E7" s="3" t="s">
        <v>30</v>
      </c>
      <c r="F7" s="3" t="s">
        <v>31</v>
      </c>
    </row>
    <row r="8" spans="1:6" x14ac:dyDescent="0.2">
      <c r="A8" s="15" t="s">
        <v>42</v>
      </c>
      <c r="B8" s="3">
        <v>56917</v>
      </c>
      <c r="C8" s="3" t="s">
        <v>5</v>
      </c>
      <c r="D8" s="14">
        <v>14.297709923664099</v>
      </c>
      <c r="E8" s="3" t="s">
        <v>11</v>
      </c>
      <c r="F8" s="3" t="s">
        <v>12</v>
      </c>
    </row>
    <row r="9" spans="1:6" x14ac:dyDescent="0.2">
      <c r="A9" s="15" t="s">
        <v>44</v>
      </c>
      <c r="B9" s="3">
        <v>18531</v>
      </c>
      <c r="C9" s="3" t="s">
        <v>5</v>
      </c>
      <c r="D9" s="14">
        <v>14.0810810810811</v>
      </c>
      <c r="E9" s="3" t="s">
        <v>15</v>
      </c>
      <c r="F9" s="3" t="s">
        <v>16</v>
      </c>
    </row>
    <row r="10" spans="1:6" x14ac:dyDescent="0.2">
      <c r="A10" s="15" t="s">
        <v>56</v>
      </c>
      <c r="B10" s="3">
        <v>79828</v>
      </c>
      <c r="C10" s="3" t="s">
        <v>21</v>
      </c>
      <c r="D10" s="14">
        <v>14</v>
      </c>
      <c r="E10" s="3" t="s">
        <v>58</v>
      </c>
      <c r="F10" s="3" t="s">
        <v>57</v>
      </c>
    </row>
    <row r="11" spans="1:6" x14ac:dyDescent="0.2">
      <c r="A11" s="15" t="s">
        <v>50</v>
      </c>
      <c r="B11" s="3">
        <v>51286</v>
      </c>
      <c r="C11" s="3" t="s">
        <v>5</v>
      </c>
      <c r="D11" s="14">
        <v>13.6521739130435</v>
      </c>
      <c r="E11" s="3" t="s">
        <v>32</v>
      </c>
      <c r="F11" s="3" t="s">
        <v>33</v>
      </c>
    </row>
    <row r="12" spans="1:6" ht="17" thickBot="1" x14ac:dyDescent="0.25">
      <c r="A12" s="15" t="s">
        <v>40</v>
      </c>
      <c r="B12" s="3">
        <v>40259</v>
      </c>
      <c r="C12" s="3" t="s">
        <v>5</v>
      </c>
      <c r="D12" s="14">
        <v>13.3958333333333</v>
      </c>
      <c r="E12" s="3" t="s">
        <v>13</v>
      </c>
      <c r="F12" s="3" t="s">
        <v>14</v>
      </c>
    </row>
    <row r="13" spans="1:6" ht="17" thickBot="1" x14ac:dyDescent="0.25">
      <c r="A13" s="20" t="s">
        <v>63</v>
      </c>
      <c r="B13" s="21"/>
      <c r="C13" s="21"/>
      <c r="D13" s="21"/>
      <c r="E13" s="21"/>
      <c r="F13" s="22"/>
    </row>
    <row r="14" spans="1:6" x14ac:dyDescent="0.2">
      <c r="A14" s="18" t="s">
        <v>0</v>
      </c>
      <c r="B14" s="7" t="s">
        <v>1</v>
      </c>
      <c r="C14" s="7" t="s">
        <v>2</v>
      </c>
      <c r="D14" s="7" t="s">
        <v>62</v>
      </c>
      <c r="E14" s="7" t="s">
        <v>3</v>
      </c>
      <c r="F14" s="7" t="s">
        <v>4</v>
      </c>
    </row>
    <row r="15" spans="1:6" x14ac:dyDescent="0.2">
      <c r="A15" s="15" t="s">
        <v>65</v>
      </c>
      <c r="B15" s="3">
        <v>95234</v>
      </c>
      <c r="C15" s="3" t="s">
        <v>21</v>
      </c>
      <c r="D15" s="14">
        <v>-0.90322684280867704</v>
      </c>
      <c r="E15" s="3" t="s">
        <v>80</v>
      </c>
      <c r="F15" s="3" t="s">
        <v>76</v>
      </c>
    </row>
    <row r="16" spans="1:6" x14ac:dyDescent="0.2">
      <c r="A16" s="15" t="s">
        <v>66</v>
      </c>
      <c r="B16" s="3">
        <v>51591</v>
      </c>
      <c r="C16" s="3" t="s">
        <v>5</v>
      </c>
      <c r="D16" s="14">
        <v>-0.63901345291479805</v>
      </c>
      <c r="E16" s="3" t="s">
        <v>80</v>
      </c>
      <c r="F16" s="3" t="s">
        <v>77</v>
      </c>
    </row>
    <row r="17" spans="1:6" x14ac:dyDescent="0.2">
      <c r="A17" s="15" t="s">
        <v>67</v>
      </c>
      <c r="B17" s="3">
        <v>61477</v>
      </c>
      <c r="C17" s="3" t="s">
        <v>17</v>
      </c>
      <c r="D17" s="14">
        <v>-0.63341235193791201</v>
      </c>
      <c r="E17" s="3" t="s">
        <v>75</v>
      </c>
      <c r="F17" s="3" t="s">
        <v>78</v>
      </c>
    </row>
    <row r="18" spans="1:6" x14ac:dyDescent="0.2">
      <c r="A18" s="15" t="s">
        <v>68</v>
      </c>
      <c r="B18" s="3">
        <v>97411</v>
      </c>
      <c r="C18" s="3" t="s">
        <v>21</v>
      </c>
      <c r="D18" s="14">
        <v>-0.62459546925566301</v>
      </c>
      <c r="E18" s="3" t="s">
        <v>75</v>
      </c>
      <c r="F18" s="3" t="s">
        <v>79</v>
      </c>
    </row>
    <row r="19" spans="1:6" x14ac:dyDescent="0.2">
      <c r="A19" s="15" t="s">
        <v>69</v>
      </c>
      <c r="B19" s="3">
        <v>117651</v>
      </c>
      <c r="C19" s="3" t="s">
        <v>8</v>
      </c>
      <c r="D19" s="14">
        <v>-0.61340206185567003</v>
      </c>
      <c r="E19" s="3" t="s">
        <v>75</v>
      </c>
      <c r="F19" s="3" t="s">
        <v>7</v>
      </c>
    </row>
    <row r="20" spans="1:6" x14ac:dyDescent="0.2">
      <c r="A20" s="15" t="s">
        <v>70</v>
      </c>
      <c r="B20" s="3">
        <v>75625</v>
      </c>
      <c r="C20" s="3" t="s">
        <v>17</v>
      </c>
      <c r="D20" s="14">
        <v>-0.61227686231316303</v>
      </c>
      <c r="E20" s="3" t="s">
        <v>80</v>
      </c>
      <c r="F20" s="3" t="s">
        <v>7</v>
      </c>
    </row>
    <row r="21" spans="1:6" x14ac:dyDescent="0.2">
      <c r="A21" s="15" t="s">
        <v>71</v>
      </c>
      <c r="B21" s="3">
        <v>154831</v>
      </c>
      <c r="C21" s="3" t="s">
        <v>64</v>
      </c>
      <c r="D21" s="14">
        <v>-0.61213517665130601</v>
      </c>
      <c r="E21" s="3" t="s">
        <v>81</v>
      </c>
      <c r="F21" s="3" t="s">
        <v>7</v>
      </c>
    </row>
    <row r="22" spans="1:6" x14ac:dyDescent="0.2">
      <c r="A22" s="15" t="s">
        <v>72</v>
      </c>
      <c r="B22" s="3">
        <v>94453</v>
      </c>
      <c r="C22" s="3" t="s">
        <v>21</v>
      </c>
      <c r="D22" s="14">
        <v>-0.61141115596404205</v>
      </c>
      <c r="E22" s="3" t="s">
        <v>83</v>
      </c>
      <c r="F22" s="3" t="s">
        <v>82</v>
      </c>
    </row>
    <row r="23" spans="1:6" x14ac:dyDescent="0.2">
      <c r="A23" s="15" t="s">
        <v>73</v>
      </c>
      <c r="B23" s="3">
        <v>60469</v>
      </c>
      <c r="C23" s="3" t="s">
        <v>17</v>
      </c>
      <c r="D23" s="14">
        <v>-0.59044368600682595</v>
      </c>
      <c r="E23" s="3" t="s">
        <v>84</v>
      </c>
      <c r="F23" s="3" t="s">
        <v>85</v>
      </c>
    </row>
    <row r="24" spans="1:6" x14ac:dyDescent="0.2">
      <c r="A24" s="15" t="s">
        <v>74</v>
      </c>
      <c r="B24" s="3">
        <v>84938</v>
      </c>
      <c r="C24" s="3" t="s">
        <v>21</v>
      </c>
      <c r="D24" s="14">
        <v>-0.59028902063618705</v>
      </c>
      <c r="E24" s="3" t="s">
        <v>75</v>
      </c>
      <c r="F24" s="3" t="s">
        <v>86</v>
      </c>
    </row>
  </sheetData>
  <mergeCells count="2">
    <mergeCell ref="A1:F1"/>
    <mergeCell ref="A13:F13"/>
  </mergeCells>
  <pageMargins left="0.7" right="0.7" top="0.75" bottom="0.75" header="0.3" footer="0.3"/>
  <ignoredErrors>
    <ignoredError sqref="A3:F4 A6:F24 A5:D5 F5" numberStoredAsText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L31"/>
  <sheetViews>
    <sheetView topLeftCell="F1" zoomScale="119" zoomScaleNormal="86" workbookViewId="0">
      <selection activeCell="J2" sqref="J2:O25"/>
    </sheetView>
  </sheetViews>
  <sheetFormatPr baseColWidth="10" defaultRowHeight="16" x14ac:dyDescent="0.2"/>
  <cols>
    <col min="2" max="2" width="18.6640625" style="1" customWidth="1"/>
    <col min="3" max="3" width="13.83203125" bestFit="1" customWidth="1"/>
    <col min="4" max="4" width="12.6640625" bestFit="1" customWidth="1"/>
    <col min="5" max="5" width="19.5" bestFit="1" customWidth="1"/>
    <col min="6" max="6" width="28.6640625" bestFit="1" customWidth="1"/>
    <col min="7" max="7" width="12.33203125" bestFit="1" customWidth="1"/>
    <col min="9" max="9" width="14.5" style="1" customWidth="1"/>
    <col min="10" max="10" width="17.33203125" style="1" bestFit="1" customWidth="1"/>
    <col min="11" max="11" width="13.83203125" bestFit="1" customWidth="1"/>
    <col min="12" max="12" width="12.6640625" style="1" bestFit="1" customWidth="1"/>
    <col min="13" max="13" width="19.6640625" bestFit="1" customWidth="1"/>
    <col min="14" max="14" width="27.83203125" bestFit="1" customWidth="1"/>
    <col min="15" max="15" width="13.1640625" customWidth="1"/>
  </cols>
  <sheetData>
    <row r="1" spans="2:7" ht="17" thickBot="1" x14ac:dyDescent="0.25"/>
    <row r="2" spans="2:7" ht="17" thickBot="1" x14ac:dyDescent="0.25">
      <c r="B2" s="23" t="s">
        <v>61</v>
      </c>
      <c r="C2" s="24"/>
      <c r="D2" s="24"/>
      <c r="E2" s="24"/>
      <c r="F2" s="24"/>
      <c r="G2" s="24"/>
    </row>
    <row r="3" spans="2:7" ht="17" thickBot="1" x14ac:dyDescent="0.25">
      <c r="B3" s="25" t="s">
        <v>59</v>
      </c>
      <c r="C3" s="26"/>
      <c r="D3" s="26"/>
      <c r="E3" s="26"/>
      <c r="F3" s="26"/>
      <c r="G3" s="26"/>
    </row>
    <row r="4" spans="2:7" x14ac:dyDescent="0.2">
      <c r="B4" s="8" t="s">
        <v>0</v>
      </c>
      <c r="C4" s="7" t="s">
        <v>1</v>
      </c>
      <c r="D4" s="7" t="s">
        <v>2</v>
      </c>
      <c r="E4" s="7" t="s">
        <v>62</v>
      </c>
      <c r="F4" s="7" t="s">
        <v>3</v>
      </c>
      <c r="G4" s="7" t="s">
        <v>4</v>
      </c>
    </row>
    <row r="5" spans="2:7" x14ac:dyDescent="0.2">
      <c r="B5" s="9" t="s">
        <v>38</v>
      </c>
      <c r="C5" s="3">
        <v>105714</v>
      </c>
      <c r="D5" s="3" t="s">
        <v>8</v>
      </c>
      <c r="E5" s="4">
        <v>15.6</v>
      </c>
      <c r="F5" s="3" t="s">
        <v>9</v>
      </c>
      <c r="G5" s="3" t="s">
        <v>10</v>
      </c>
    </row>
    <row r="6" spans="2:7" x14ac:dyDescent="0.2">
      <c r="B6" s="9" t="s">
        <v>40</v>
      </c>
      <c r="C6" s="3">
        <v>40259</v>
      </c>
      <c r="D6" s="3" t="s">
        <v>5</v>
      </c>
      <c r="E6" s="4">
        <v>14</v>
      </c>
      <c r="F6" s="3" t="s">
        <v>13</v>
      </c>
      <c r="G6" s="3" t="s">
        <v>14</v>
      </c>
    </row>
    <row r="7" spans="2:7" x14ac:dyDescent="0.2">
      <c r="B7" s="10" t="s">
        <v>39</v>
      </c>
      <c r="C7" s="3">
        <v>57027</v>
      </c>
      <c r="D7" s="3" t="s">
        <v>5</v>
      </c>
      <c r="E7" s="4">
        <v>13.8</v>
      </c>
      <c r="F7" s="3" t="s">
        <v>6</v>
      </c>
      <c r="G7" s="3" t="s">
        <v>7</v>
      </c>
    </row>
    <row r="8" spans="2:7" x14ac:dyDescent="0.2">
      <c r="B8" s="9" t="s">
        <v>42</v>
      </c>
      <c r="C8" s="3">
        <v>56917</v>
      </c>
      <c r="D8" s="3" t="s">
        <v>5</v>
      </c>
      <c r="E8" s="4">
        <v>13.7</v>
      </c>
      <c r="F8" s="3" t="s">
        <v>11</v>
      </c>
      <c r="G8" s="3" t="s">
        <v>12</v>
      </c>
    </row>
    <row r="9" spans="2:7" x14ac:dyDescent="0.2">
      <c r="B9" s="9" t="s">
        <v>41</v>
      </c>
      <c r="C9" s="3">
        <v>73375</v>
      </c>
      <c r="D9" s="3" t="s">
        <v>17</v>
      </c>
      <c r="E9" s="4">
        <v>13.7</v>
      </c>
      <c r="F9" s="3" t="s">
        <v>18</v>
      </c>
      <c r="G9" s="3" t="s">
        <v>19</v>
      </c>
    </row>
    <row r="10" spans="2:7" x14ac:dyDescent="0.2">
      <c r="B10" s="10" t="s">
        <v>45</v>
      </c>
      <c r="C10" s="3">
        <v>50489</v>
      </c>
      <c r="D10" s="3" t="s">
        <v>5</v>
      </c>
      <c r="E10" s="4">
        <v>12.2</v>
      </c>
      <c r="F10" s="3" t="s">
        <v>22</v>
      </c>
      <c r="G10" s="3" t="s">
        <v>23</v>
      </c>
    </row>
    <row r="11" spans="2:7" x14ac:dyDescent="0.2">
      <c r="B11" s="9" t="s">
        <v>46</v>
      </c>
      <c r="C11" s="3">
        <v>79226</v>
      </c>
      <c r="D11" s="3" t="s">
        <v>21</v>
      </c>
      <c r="E11" s="4">
        <v>11.9</v>
      </c>
      <c r="F11" s="3" t="s">
        <v>24</v>
      </c>
      <c r="G11" s="3" t="s">
        <v>25</v>
      </c>
    </row>
    <row r="12" spans="2:7" x14ac:dyDescent="0.2">
      <c r="B12" s="9" t="s">
        <v>43</v>
      </c>
      <c r="C12" s="3">
        <v>102188</v>
      </c>
      <c r="D12" s="3" t="s">
        <v>8</v>
      </c>
      <c r="E12" s="4">
        <v>11.7</v>
      </c>
      <c r="F12" s="3" t="s">
        <v>20</v>
      </c>
      <c r="G12" s="3" t="s">
        <v>7</v>
      </c>
    </row>
    <row r="13" spans="2:7" x14ac:dyDescent="0.2">
      <c r="B13" s="9" t="s">
        <v>52</v>
      </c>
      <c r="C13" s="3">
        <v>44245</v>
      </c>
      <c r="D13" s="3" t="s">
        <v>17</v>
      </c>
      <c r="E13" s="4">
        <v>11.3</v>
      </c>
      <c r="F13" s="3" t="s">
        <v>53</v>
      </c>
      <c r="G13" s="3" t="s">
        <v>54</v>
      </c>
    </row>
    <row r="14" spans="2:7" ht="17" thickBot="1" x14ac:dyDescent="0.25">
      <c r="B14" s="11" t="s">
        <v>44</v>
      </c>
      <c r="C14" s="5">
        <v>18531</v>
      </c>
      <c r="D14" s="5" t="s">
        <v>5</v>
      </c>
      <c r="E14" s="6">
        <v>11</v>
      </c>
      <c r="F14" s="5" t="s">
        <v>15</v>
      </c>
      <c r="G14" s="5" t="s">
        <v>16</v>
      </c>
    </row>
    <row r="15" spans="2:7" ht="17" thickBot="1" x14ac:dyDescent="0.25">
      <c r="B15" s="25" t="s">
        <v>60</v>
      </c>
      <c r="C15" s="26"/>
      <c r="D15" s="26"/>
      <c r="E15" s="26"/>
      <c r="F15" s="26"/>
      <c r="G15" s="26"/>
    </row>
    <row r="16" spans="2:7" x14ac:dyDescent="0.2">
      <c r="B16" s="8" t="s">
        <v>0</v>
      </c>
      <c r="C16" s="7" t="s">
        <v>1</v>
      </c>
      <c r="D16" s="7" t="s">
        <v>2</v>
      </c>
      <c r="E16" s="7" t="s">
        <v>62</v>
      </c>
      <c r="F16" s="7" t="s">
        <v>3</v>
      </c>
      <c r="G16" s="7" t="s">
        <v>4</v>
      </c>
    </row>
    <row r="17" spans="2:12" x14ac:dyDescent="0.2">
      <c r="B17" s="10" t="s">
        <v>39</v>
      </c>
      <c r="C17" s="3">
        <v>57027</v>
      </c>
      <c r="D17" s="3" t="s">
        <v>5</v>
      </c>
      <c r="E17" s="3">
        <v>56.3</v>
      </c>
      <c r="F17" s="3" t="s">
        <v>6</v>
      </c>
      <c r="G17" s="3" t="s">
        <v>7</v>
      </c>
    </row>
    <row r="18" spans="2:12" x14ac:dyDescent="0.2">
      <c r="B18" s="9" t="s">
        <v>47</v>
      </c>
      <c r="C18" s="3">
        <v>81011</v>
      </c>
      <c r="D18" s="3" t="s">
        <v>21</v>
      </c>
      <c r="E18" s="3">
        <v>54.1</v>
      </c>
      <c r="F18" s="3" t="s">
        <v>26</v>
      </c>
      <c r="G18" s="3" t="s">
        <v>27</v>
      </c>
    </row>
    <row r="19" spans="2:12" x14ac:dyDescent="0.2">
      <c r="B19" s="9" t="s">
        <v>48</v>
      </c>
      <c r="C19" s="3">
        <v>124083</v>
      </c>
      <c r="D19" s="3" t="s">
        <v>8</v>
      </c>
      <c r="E19" s="3">
        <v>48</v>
      </c>
      <c r="F19" s="3" t="s">
        <v>28</v>
      </c>
      <c r="G19" s="3" t="s">
        <v>29</v>
      </c>
    </row>
    <row r="20" spans="2:12" x14ac:dyDescent="0.2">
      <c r="B20" s="10" t="s">
        <v>44</v>
      </c>
      <c r="C20" s="3">
        <v>18531</v>
      </c>
      <c r="D20" s="3" t="s">
        <v>5</v>
      </c>
      <c r="E20" s="3">
        <v>34.799999999999997</v>
      </c>
      <c r="F20" s="3" t="s">
        <v>15</v>
      </c>
      <c r="G20" s="3" t="s">
        <v>16</v>
      </c>
    </row>
    <row r="21" spans="2:12" x14ac:dyDescent="0.2">
      <c r="B21" s="10" t="s">
        <v>45</v>
      </c>
      <c r="C21" s="3">
        <v>50489</v>
      </c>
      <c r="D21" s="3" t="s">
        <v>5</v>
      </c>
      <c r="E21" s="3">
        <v>31.7</v>
      </c>
      <c r="F21" s="3" t="s">
        <v>22</v>
      </c>
      <c r="G21" s="3" t="s">
        <v>23</v>
      </c>
    </row>
    <row r="22" spans="2:12" x14ac:dyDescent="0.2">
      <c r="B22" s="9" t="s">
        <v>49</v>
      </c>
      <c r="C22" s="3">
        <v>77143</v>
      </c>
      <c r="D22" s="3" t="s">
        <v>21</v>
      </c>
      <c r="E22" s="3">
        <v>25.8</v>
      </c>
      <c r="F22" s="3" t="s">
        <v>30</v>
      </c>
      <c r="G22" s="3" t="s">
        <v>31</v>
      </c>
    </row>
    <row r="23" spans="2:12" x14ac:dyDescent="0.2">
      <c r="B23" s="9" t="s">
        <v>51</v>
      </c>
      <c r="C23" s="3">
        <v>15417</v>
      </c>
      <c r="D23" s="3" t="s">
        <v>5</v>
      </c>
      <c r="E23" s="3">
        <v>20.2</v>
      </c>
      <c r="F23" s="3" t="s">
        <v>34</v>
      </c>
      <c r="G23" s="3" t="s">
        <v>7</v>
      </c>
    </row>
    <row r="24" spans="2:12" x14ac:dyDescent="0.2">
      <c r="B24" s="9" t="s">
        <v>50</v>
      </c>
      <c r="C24" s="3">
        <v>51286</v>
      </c>
      <c r="D24" s="3" t="s">
        <v>5</v>
      </c>
      <c r="E24" s="3">
        <v>19.399999999999999</v>
      </c>
      <c r="F24" s="3" t="s">
        <v>32</v>
      </c>
      <c r="G24" s="3" t="s">
        <v>33</v>
      </c>
    </row>
    <row r="25" spans="2:12" x14ac:dyDescent="0.2">
      <c r="B25" s="9" t="s">
        <v>55</v>
      </c>
      <c r="C25" s="3">
        <v>41773</v>
      </c>
      <c r="D25" s="3" t="s">
        <v>5</v>
      </c>
      <c r="E25" s="3">
        <v>18.600000000000001</v>
      </c>
      <c r="F25" s="3" t="s">
        <v>35</v>
      </c>
      <c r="G25" s="3" t="s">
        <v>36</v>
      </c>
    </row>
    <row r="26" spans="2:12" ht="17" thickBot="1" x14ac:dyDescent="0.25">
      <c r="B26" s="12" t="s">
        <v>56</v>
      </c>
      <c r="C26" s="13">
        <v>79828</v>
      </c>
      <c r="D26" s="13" t="s">
        <v>8</v>
      </c>
      <c r="E26" s="13">
        <v>18.5</v>
      </c>
      <c r="F26" s="13" t="s">
        <v>58</v>
      </c>
      <c r="G26" s="13" t="s">
        <v>57</v>
      </c>
      <c r="K26" s="1"/>
      <c r="L26"/>
    </row>
    <row r="27" spans="2:12" x14ac:dyDescent="0.2">
      <c r="K27" s="1"/>
      <c r="L27"/>
    </row>
    <row r="28" spans="2:12" x14ac:dyDescent="0.2">
      <c r="B28" s="2"/>
      <c r="C28" t="s">
        <v>37</v>
      </c>
      <c r="K28" s="1"/>
      <c r="L28"/>
    </row>
    <row r="29" spans="2:12" x14ac:dyDescent="0.2">
      <c r="K29" s="1"/>
      <c r="L29"/>
    </row>
    <row r="30" spans="2:12" x14ac:dyDescent="0.2">
      <c r="K30" s="1"/>
      <c r="L30"/>
    </row>
    <row r="31" spans="2:12" x14ac:dyDescent="0.2">
      <c r="K31" s="1"/>
      <c r="L31"/>
    </row>
  </sheetData>
  <mergeCells count="3">
    <mergeCell ref="B2:G2"/>
    <mergeCell ref="B3:G3"/>
    <mergeCell ref="B15:G15"/>
  </mergeCells>
  <pageMargins left="0.75" right="0.75" top="1" bottom="1" header="0.5" footer="0.5"/>
  <pageSetup orientation="portrait" horizontalDpi="0" verticalDpi="0"/>
  <ignoredErrors>
    <ignoredError sqref="B3 B5 B6:B14 B15:G15 B17:G26 B16:D16 F16:G16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Table S1</vt:lpstr>
      <vt:lpstr>Table S2</vt:lpstr>
      <vt:lpstr>Table S3</vt:lpstr>
      <vt:lpstr>Table S4</vt:lpstr>
      <vt:lpstr>Table S5</vt:lpstr>
      <vt:lpstr>archive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2022-11-10T07:34:14Z</dcterms:created>
  <dcterms:modified xsi:type="dcterms:W3CDTF">2023-05-25T02:55:15Z</dcterms:modified>
</cp:coreProperties>
</file>