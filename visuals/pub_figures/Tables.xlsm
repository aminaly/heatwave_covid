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minaly/Box Sync/heatwave_covid/visuals/pub_figures/"/>
    </mc:Choice>
  </mc:AlternateContent>
  <xr:revisionPtr revIDLastSave="0" documentId="13_ncr:1_{687D6656-EC79-7647-A827-B52E40A72BCB}" xr6:coauthVersionLast="47" xr6:coauthVersionMax="47" xr10:uidLastSave="{00000000-0000-0000-0000-000000000000}"/>
  <bookViews>
    <workbookView xWindow="0" yWindow="500" windowWidth="28800" windowHeight="17500" activeTab="2" xr2:uid="{00000000-000D-0000-FFFF-FFFF00000000}"/>
  </bookViews>
  <sheets>
    <sheet name="Table S1" sheetId="2" r:id="rId1"/>
    <sheet name="Table S2" sheetId="3" r:id="rId2"/>
    <sheet name="Sheet1" sheetId="5" r:id="rId3"/>
    <sheet name="Table S3(Maybe)" sheetId="4" r:id="rId4"/>
    <sheet name="archive" sheetId="1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3" i="5" l="1"/>
  <c r="I6" i="5"/>
  <c r="H6" i="5"/>
  <c r="F26" i="5"/>
  <c r="F17" i="5"/>
  <c r="F18" i="5"/>
  <c r="F19" i="5"/>
  <c r="F20" i="5"/>
  <c r="F21" i="5"/>
  <c r="F22" i="5"/>
  <c r="F24" i="5"/>
  <c r="F25" i="5"/>
  <c r="F27" i="5"/>
  <c r="F28" i="5"/>
  <c r="F29" i="5"/>
  <c r="F30" i="5"/>
  <c r="F31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H4" i="5" l="1"/>
  <c r="I4" i="5"/>
</calcChain>
</file>

<file path=xl/sharedStrings.xml><?xml version="1.0" encoding="utf-8"?>
<sst xmlns="http://schemas.openxmlformats.org/spreadsheetml/2006/main" count="264" uniqueCount="133">
  <si>
    <t>Census Block Group</t>
  </si>
  <si>
    <t>Median Income</t>
  </si>
  <si>
    <t>Income Group</t>
  </si>
  <si>
    <t>Point of Interest</t>
  </si>
  <si>
    <t>City</t>
  </si>
  <si>
    <t>Low</t>
  </si>
  <si>
    <t>Pier 39</t>
  </si>
  <si>
    <t>San Francisco</t>
  </si>
  <si>
    <t>Medium High</t>
  </si>
  <si>
    <t>Oakland Middle Harbor</t>
  </si>
  <si>
    <t>Oakland</t>
  </si>
  <si>
    <t>Downtown Gilroy</t>
  </si>
  <si>
    <t>Gilroy</t>
  </si>
  <si>
    <t>Buchan Field Airport (Domestic)</t>
  </si>
  <si>
    <t>Concord</t>
  </si>
  <si>
    <t>Santa Cruz Beach Boardwalk</t>
  </si>
  <si>
    <t>Santa Cruz</t>
  </si>
  <si>
    <t>Medium Low</t>
  </si>
  <si>
    <t>Corteva Wetlands Reserve</t>
  </si>
  <si>
    <t>Antioch</t>
  </si>
  <si>
    <t>Franklin Square, Mission District</t>
  </si>
  <si>
    <t>Medium</t>
  </si>
  <si>
    <t>Downown Capitola</t>
  </si>
  <si>
    <t>Capitola</t>
  </si>
  <si>
    <t>Colma Cemeteries</t>
  </si>
  <si>
    <t>Colma</t>
  </si>
  <si>
    <t>Westfield Valley Fair</t>
  </si>
  <si>
    <t>Santa Clara</t>
  </si>
  <si>
    <t>Muir Woods National Monument</t>
  </si>
  <si>
    <t>Mill Valley</t>
  </si>
  <si>
    <t>Downtown Palo Alto</t>
  </si>
  <si>
    <t>Palo Alto</t>
  </si>
  <si>
    <t>Emeryville Public Market</t>
  </si>
  <si>
    <t>Emeryville</t>
  </si>
  <si>
    <t>Chinatown/Financial District</t>
  </si>
  <si>
    <t>Vacaville Premium Outlets</t>
  </si>
  <si>
    <t>Vacaville</t>
  </si>
  <si>
    <t>CBG appears in 2020 and 2021</t>
  </si>
  <si>
    <t>060019819001</t>
  </si>
  <si>
    <t>060750101001</t>
  </si>
  <si>
    <t>060133270005</t>
  </si>
  <si>
    <t>060133050003</t>
  </si>
  <si>
    <t>060855126021</t>
  </si>
  <si>
    <t>060750177001</t>
  </si>
  <si>
    <t>060871010004</t>
  </si>
  <si>
    <t>060871217002</t>
  </si>
  <si>
    <t>060816016011</t>
  </si>
  <si>
    <t>060855058002</t>
  </si>
  <si>
    <t>060411311002</t>
  </si>
  <si>
    <t>060855113022</t>
  </si>
  <si>
    <t>060014251023</t>
  </si>
  <si>
    <t>060750611001</t>
  </si>
  <si>
    <t>060971507011</t>
  </si>
  <si>
    <t>Downtown Petaluma</t>
  </si>
  <si>
    <t>Petaluma</t>
  </si>
  <si>
    <t>060952529112</t>
  </si>
  <si>
    <t>060411192012</t>
  </si>
  <si>
    <t>Greenbrae</t>
  </si>
  <si>
    <t>Corte Madera Creel</t>
  </si>
  <si>
    <t>2020</t>
  </si>
  <si>
    <t>2021</t>
  </si>
  <si>
    <t>Top 10 Most Visited CBGs in Summer Months</t>
  </si>
  <si>
    <t>Median Mobility Index</t>
  </si>
  <si>
    <t>Top 10 Least Visited CBGs in Summer Months</t>
  </si>
  <si>
    <t>High</t>
  </si>
  <si>
    <t>060014308001</t>
  </si>
  <si>
    <t>060133810002</t>
  </si>
  <si>
    <t>060952510001</t>
  </si>
  <si>
    <t>060816126004</t>
  </si>
  <si>
    <t>060750327005</t>
  </si>
  <si>
    <t>060750261004</t>
  </si>
  <si>
    <t>060750167003</t>
  </si>
  <si>
    <t>060133901003</t>
  </si>
  <si>
    <t>060971513062</t>
  </si>
  <si>
    <t>060133592031</t>
  </si>
  <si>
    <t xml:space="preserve">Residential </t>
  </si>
  <si>
    <t>Castro Valley</t>
  </si>
  <si>
    <t>Richmond</t>
  </si>
  <si>
    <t>Vallejo</t>
  </si>
  <si>
    <t>Menlo Park</t>
  </si>
  <si>
    <t>Residential / High School</t>
  </si>
  <si>
    <t>Buena Vista Park</t>
  </si>
  <si>
    <t>El Cerrito</t>
  </si>
  <si>
    <t>Residential / Middle School</t>
  </si>
  <si>
    <t>Residential</t>
  </si>
  <si>
    <t>Rohnert Park</t>
  </si>
  <si>
    <t>Hercules</t>
  </si>
  <si>
    <t>Table 1</t>
  </si>
  <si>
    <t>Model</t>
  </si>
  <si>
    <t>Variable</t>
  </si>
  <si>
    <t>Estimate</t>
  </si>
  <si>
    <t>P-value</t>
  </si>
  <si>
    <t>Daily High Temperature</t>
  </si>
  <si>
    <t>Wet Bulb Temperature</t>
  </si>
  <si>
    <t>Daily High Wet Bulb Temperature</t>
  </si>
  <si>
    <t>Daily High Temperature + Precipitation Accumulation</t>
  </si>
  <si>
    <t xml:space="preserve">Daily Accumulated Precipitation </t>
  </si>
  <si>
    <t>Minimum Income</t>
  </si>
  <si>
    <t>Maximum Income</t>
  </si>
  <si>
    <t>$129,421 </t>
  </si>
  <si>
    <t>$250,001 </t>
  </si>
  <si>
    <t>$99,803 </t>
  </si>
  <si>
    <t>$129,375 </t>
  </si>
  <si>
    <t>$77,000 </t>
  </si>
  <si>
    <t>$99,792 </t>
  </si>
  <si>
    <t>$57,446 </t>
  </si>
  <si>
    <t>$76,985 </t>
  </si>
  <si>
    <t>$11,406 </t>
  </si>
  <si>
    <t>$57,426 </t>
  </si>
  <si>
    <t>Downtown Capitola</t>
  </si>
  <si>
    <r>
      <t>Adjusted r</t>
    </r>
    <r>
      <rPr>
        <b/>
        <vertAlign val="superscript"/>
        <sz val="12"/>
        <color rgb="FF000000"/>
        <rFont val="Calibri"/>
        <family val="2"/>
      </rPr>
      <t>2</t>
    </r>
  </si>
  <si>
    <r>
      <t>Projected r</t>
    </r>
    <r>
      <rPr>
        <b/>
        <vertAlign val="superscript"/>
        <sz val="12"/>
        <color rgb="FF000000"/>
        <rFont val="Calibri"/>
        <family val="2"/>
      </rPr>
      <t>2</t>
    </r>
  </si>
  <si>
    <t>Log Estimate</t>
  </si>
  <si>
    <t>Cube Root Estimate</t>
  </si>
  <si>
    <t>Hot Days</t>
  </si>
  <si>
    <t>2020 Hot Days</t>
  </si>
  <si>
    <t>2021 Hot Days</t>
  </si>
  <si>
    <t>Period of the Week</t>
  </si>
  <si>
    <t>Weekend</t>
  </si>
  <si>
    <t>Weekday</t>
  </si>
  <si>
    <t xml:space="preserve">Mean Diff </t>
  </si>
  <si>
    <t>MI Group</t>
  </si>
  <si>
    <t>Intermediate</t>
  </si>
  <si>
    <t>MI Group: 2020</t>
  </si>
  <si>
    <t>MI Group: 2021</t>
  </si>
  <si>
    <t>Median Diff</t>
  </si>
  <si>
    <t>Interaction Variable</t>
  </si>
  <si>
    <t>All Summer</t>
  </si>
  <si>
    <t>2020 All Summer</t>
  </si>
  <si>
    <t>2021 All Summer</t>
  </si>
  <si>
    <t>Period of the Week Hot Days</t>
  </si>
  <si>
    <t>2020 Period of the Week Hot Days</t>
  </si>
  <si>
    <t>Absolute Difference Between Estimates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</si>
</sst>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6" formatCode="0.0000"/>
  </numFmts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6"/>
      <color theme="1"/>
      <name val="Helvetica"/>
      <family val="2"/>
    </font>
    <font>
      <b/>
      <sz val="12"/>
      <color rgb="FF000000"/>
      <name val="Calibri"/>
      <family val="2"/>
    </font>
    <font>
      <b/>
      <vertAlign val="superscript"/>
      <sz val="12"/>
      <color rgb="FF000000"/>
      <name val="Calibri"/>
      <family val="2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5">
    <xf numFmtId="0" fontId="0" fillId="0" borderId="0" xfId="0"/>
    <xf numFmtId="49" fontId="0" fillId="0" borderId="0" xfId="0" applyNumberFormat="1"/>
    <xf numFmtId="49" fontId="0" fillId="33" borderId="0" xfId="0" applyNumberFormat="1" applyFill="1"/>
    <xf numFmtId="0" fontId="0" fillId="0" borderId="10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6" xfId="0" applyNumberFormat="1" applyBorder="1" applyAlignment="1">
      <alignment horizontal="center" vertical="center"/>
    </xf>
    <xf numFmtId="49" fontId="0" fillId="33" borderId="16" xfId="0" applyNumberFormat="1" applyFill="1" applyBorder="1" applyAlignment="1">
      <alignment horizontal="center" vertical="center"/>
    </xf>
    <xf numFmtId="49" fontId="0" fillId="33" borderId="17" xfId="0" applyNumberFormat="1" applyFill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11" fontId="0" fillId="0" borderId="10" xfId="0" applyNumberFormat="1" applyBorder="1" applyAlignment="1">
      <alignment horizontal="center" vertical="center" wrapText="1"/>
    </xf>
    <xf numFmtId="0" fontId="18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12" xfId="0" applyNumberFormat="1" applyBorder="1" applyAlignment="1">
      <alignment horizontal="center" vertical="center"/>
    </xf>
    <xf numFmtId="0" fontId="19" fillId="0" borderId="23" xfId="0" applyFont="1" applyBorder="1" applyAlignment="1">
      <alignment horizontal="center" vertical="center" wrapText="1"/>
    </xf>
    <xf numFmtId="49" fontId="0" fillId="0" borderId="19" xfId="0" applyNumberFormat="1" applyBorder="1" applyAlignment="1">
      <alignment horizontal="center" vertical="center"/>
    </xf>
    <xf numFmtId="49" fontId="0" fillId="0" borderId="22" xfId="0" applyNumberFormat="1" applyBorder="1" applyAlignment="1">
      <alignment horizontal="center" vertical="center"/>
    </xf>
    <xf numFmtId="49" fontId="0" fillId="0" borderId="20" xfId="0" applyNumberFormat="1" applyBorder="1" applyAlignment="1">
      <alignment horizontal="center" vertical="center"/>
    </xf>
    <xf numFmtId="49" fontId="0" fillId="0" borderId="21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16" fillId="0" borderId="13" xfId="0" applyNumberFormat="1" applyFont="1" applyBorder="1" applyAlignment="1">
      <alignment horizontal="center" vertical="center"/>
    </xf>
    <xf numFmtId="49" fontId="16" fillId="0" borderId="14" xfId="0" applyNumberFormat="1" applyFont="1" applyBorder="1" applyAlignment="1">
      <alignment horizontal="center" vertical="center"/>
    </xf>
    <xf numFmtId="166" fontId="0" fillId="0" borderId="0" xfId="0" applyNumberFormat="1"/>
    <xf numFmtId="0" fontId="16" fillId="0" borderId="0" xfId="0" applyFont="1" applyFill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166" fontId="22" fillId="0" borderId="10" xfId="0" applyNumberFormat="1" applyFont="1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22" fillId="34" borderId="10" xfId="0" applyFont="1" applyFill="1" applyBorder="1" applyAlignment="1">
      <alignment horizontal="center" vertical="center" wrapText="1"/>
    </xf>
    <xf numFmtId="166" fontId="22" fillId="34" borderId="10" xfId="0" applyNumberFormat="1" applyFont="1" applyFill="1" applyBorder="1" applyAlignment="1">
      <alignment horizontal="center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A0316-DDD1-A941-8F6C-1083B521371A}">
  <dimension ref="A1:F24"/>
  <sheetViews>
    <sheetView workbookViewId="0">
      <selection activeCell="E5" sqref="E5"/>
    </sheetView>
  </sheetViews>
  <sheetFormatPr baseColWidth="10" defaultRowHeight="16" x14ac:dyDescent="0.2"/>
  <cols>
    <col min="1" max="1" width="17.33203125" bestFit="1" customWidth="1"/>
    <col min="2" max="2" width="13.83203125" bestFit="1" customWidth="1"/>
    <col min="3" max="3" width="12.6640625" bestFit="1" customWidth="1"/>
    <col min="4" max="4" width="19.5" bestFit="1" customWidth="1"/>
    <col min="5" max="5" width="27.83203125" bestFit="1" customWidth="1"/>
    <col min="6" max="6" width="12.33203125" bestFit="1" customWidth="1"/>
  </cols>
  <sheetData>
    <row r="1" spans="1:6" ht="17" thickBot="1" x14ac:dyDescent="0.25">
      <c r="A1" s="23" t="s">
        <v>61</v>
      </c>
      <c r="B1" s="23"/>
      <c r="C1" s="23"/>
      <c r="D1" s="23"/>
      <c r="E1" s="23"/>
      <c r="F1" s="23"/>
    </row>
    <row r="2" spans="1:6" x14ac:dyDescent="0.2">
      <c r="A2" s="21" t="s">
        <v>0</v>
      </c>
      <c r="B2" s="7" t="s">
        <v>1</v>
      </c>
      <c r="C2" s="7" t="s">
        <v>2</v>
      </c>
      <c r="D2" s="7" t="s">
        <v>87</v>
      </c>
      <c r="E2" s="7" t="s">
        <v>3</v>
      </c>
      <c r="F2" s="7" t="s">
        <v>4</v>
      </c>
    </row>
    <row r="3" spans="1:6" x14ac:dyDescent="0.2">
      <c r="A3" s="15" t="s">
        <v>39</v>
      </c>
      <c r="B3" s="3">
        <v>57027</v>
      </c>
      <c r="C3" s="3" t="s">
        <v>5</v>
      </c>
      <c r="D3" s="14">
        <v>35.631578947368403</v>
      </c>
      <c r="E3" s="3" t="s">
        <v>6</v>
      </c>
      <c r="F3" s="3" t="s">
        <v>7</v>
      </c>
    </row>
    <row r="4" spans="1:6" x14ac:dyDescent="0.2">
      <c r="A4" s="15" t="s">
        <v>47</v>
      </c>
      <c r="B4" s="3">
        <v>81011</v>
      </c>
      <c r="C4" s="3" t="s">
        <v>21</v>
      </c>
      <c r="D4" s="14">
        <v>29.714285714285701</v>
      </c>
      <c r="E4" s="3" t="s">
        <v>26</v>
      </c>
      <c r="F4" s="3" t="s">
        <v>27</v>
      </c>
    </row>
    <row r="5" spans="1:6" x14ac:dyDescent="0.2">
      <c r="A5" s="15" t="s">
        <v>45</v>
      </c>
      <c r="B5" s="3">
        <v>50489</v>
      </c>
      <c r="C5" s="3" t="s">
        <v>5</v>
      </c>
      <c r="D5" s="14">
        <v>24.090909090909101</v>
      </c>
      <c r="E5" s="3" t="s">
        <v>109</v>
      </c>
      <c r="F5" s="3" t="s">
        <v>23</v>
      </c>
    </row>
    <row r="6" spans="1:6" x14ac:dyDescent="0.2">
      <c r="A6" s="15" t="s">
        <v>55</v>
      </c>
      <c r="B6" s="3">
        <v>41773</v>
      </c>
      <c r="C6" s="3" t="s">
        <v>5</v>
      </c>
      <c r="D6" s="14">
        <v>14.7325581395349</v>
      </c>
      <c r="E6" s="3" t="s">
        <v>35</v>
      </c>
      <c r="F6" s="3" t="s">
        <v>36</v>
      </c>
    </row>
    <row r="7" spans="1:6" x14ac:dyDescent="0.2">
      <c r="A7" s="15" t="s">
        <v>49</v>
      </c>
      <c r="B7" s="3">
        <v>77143</v>
      </c>
      <c r="C7" s="3" t="s">
        <v>21</v>
      </c>
      <c r="D7" s="14">
        <v>14.6666666666667</v>
      </c>
      <c r="E7" s="3" t="s">
        <v>30</v>
      </c>
      <c r="F7" s="3" t="s">
        <v>31</v>
      </c>
    </row>
    <row r="8" spans="1:6" x14ac:dyDescent="0.2">
      <c r="A8" s="15" t="s">
        <v>42</v>
      </c>
      <c r="B8" s="3">
        <v>56917</v>
      </c>
      <c r="C8" s="3" t="s">
        <v>5</v>
      </c>
      <c r="D8" s="14">
        <v>14.297709923664099</v>
      </c>
      <c r="E8" s="3" t="s">
        <v>11</v>
      </c>
      <c r="F8" s="3" t="s">
        <v>12</v>
      </c>
    </row>
    <row r="9" spans="1:6" x14ac:dyDescent="0.2">
      <c r="A9" s="15" t="s">
        <v>44</v>
      </c>
      <c r="B9" s="3">
        <v>18531</v>
      </c>
      <c r="C9" s="3" t="s">
        <v>5</v>
      </c>
      <c r="D9" s="14">
        <v>14.0810810810811</v>
      </c>
      <c r="E9" s="3" t="s">
        <v>15</v>
      </c>
      <c r="F9" s="3" t="s">
        <v>16</v>
      </c>
    </row>
    <row r="10" spans="1:6" x14ac:dyDescent="0.2">
      <c r="A10" s="15" t="s">
        <v>56</v>
      </c>
      <c r="B10" s="3">
        <v>79828</v>
      </c>
      <c r="C10" s="3" t="s">
        <v>21</v>
      </c>
      <c r="D10" s="14">
        <v>14</v>
      </c>
      <c r="E10" s="3" t="s">
        <v>58</v>
      </c>
      <c r="F10" s="3" t="s">
        <v>57</v>
      </c>
    </row>
    <row r="11" spans="1:6" x14ac:dyDescent="0.2">
      <c r="A11" s="15" t="s">
        <v>50</v>
      </c>
      <c r="B11" s="3">
        <v>51286</v>
      </c>
      <c r="C11" s="3" t="s">
        <v>5</v>
      </c>
      <c r="D11" s="14">
        <v>13.6521739130435</v>
      </c>
      <c r="E11" s="3" t="s">
        <v>32</v>
      </c>
      <c r="F11" s="3" t="s">
        <v>33</v>
      </c>
    </row>
    <row r="12" spans="1:6" ht="17" thickBot="1" x14ac:dyDescent="0.25">
      <c r="A12" s="15" t="s">
        <v>40</v>
      </c>
      <c r="B12" s="3">
        <v>40259</v>
      </c>
      <c r="C12" s="3" t="s">
        <v>5</v>
      </c>
      <c r="D12" s="14">
        <v>13.3958333333333</v>
      </c>
      <c r="E12" s="3" t="s">
        <v>13</v>
      </c>
      <c r="F12" s="3" t="s">
        <v>14</v>
      </c>
    </row>
    <row r="13" spans="1:6" ht="17" thickBot="1" x14ac:dyDescent="0.25">
      <c r="A13" s="24" t="s">
        <v>63</v>
      </c>
      <c r="B13" s="25"/>
      <c r="C13" s="25"/>
      <c r="D13" s="25"/>
      <c r="E13" s="25"/>
      <c r="F13" s="26"/>
    </row>
    <row r="14" spans="1:6" x14ac:dyDescent="0.2">
      <c r="A14" s="21" t="s">
        <v>0</v>
      </c>
      <c r="B14" s="7" t="s">
        <v>1</v>
      </c>
      <c r="C14" s="7" t="s">
        <v>2</v>
      </c>
      <c r="D14" s="7" t="s">
        <v>62</v>
      </c>
      <c r="E14" s="7" t="s">
        <v>3</v>
      </c>
      <c r="F14" s="7" t="s">
        <v>4</v>
      </c>
    </row>
    <row r="15" spans="1:6" x14ac:dyDescent="0.2">
      <c r="A15" s="15" t="s">
        <v>65</v>
      </c>
      <c r="B15" s="3">
        <v>95234</v>
      </c>
      <c r="C15" s="3" t="s">
        <v>21</v>
      </c>
      <c r="D15" s="14">
        <v>-0.90322684280867704</v>
      </c>
      <c r="E15" s="3" t="s">
        <v>80</v>
      </c>
      <c r="F15" s="3" t="s">
        <v>76</v>
      </c>
    </row>
    <row r="16" spans="1:6" x14ac:dyDescent="0.2">
      <c r="A16" s="15" t="s">
        <v>66</v>
      </c>
      <c r="B16" s="3">
        <v>51591</v>
      </c>
      <c r="C16" s="3" t="s">
        <v>5</v>
      </c>
      <c r="D16" s="14">
        <v>-0.63901345291479805</v>
      </c>
      <c r="E16" s="3" t="s">
        <v>80</v>
      </c>
      <c r="F16" s="3" t="s">
        <v>77</v>
      </c>
    </row>
    <row r="17" spans="1:6" x14ac:dyDescent="0.2">
      <c r="A17" s="15" t="s">
        <v>67</v>
      </c>
      <c r="B17" s="3">
        <v>61477</v>
      </c>
      <c r="C17" s="3" t="s">
        <v>17</v>
      </c>
      <c r="D17" s="14">
        <v>-0.63341235193791201</v>
      </c>
      <c r="E17" s="3" t="s">
        <v>75</v>
      </c>
      <c r="F17" s="3" t="s">
        <v>78</v>
      </c>
    </row>
    <row r="18" spans="1:6" x14ac:dyDescent="0.2">
      <c r="A18" s="15" t="s">
        <v>68</v>
      </c>
      <c r="B18" s="3">
        <v>97411</v>
      </c>
      <c r="C18" s="3" t="s">
        <v>21</v>
      </c>
      <c r="D18" s="14">
        <v>-0.62459546925566301</v>
      </c>
      <c r="E18" s="3" t="s">
        <v>75</v>
      </c>
      <c r="F18" s="3" t="s">
        <v>79</v>
      </c>
    </row>
    <row r="19" spans="1:6" x14ac:dyDescent="0.2">
      <c r="A19" s="15" t="s">
        <v>69</v>
      </c>
      <c r="B19" s="3">
        <v>117651</v>
      </c>
      <c r="C19" s="3" t="s">
        <v>8</v>
      </c>
      <c r="D19" s="14">
        <v>-0.61340206185567003</v>
      </c>
      <c r="E19" s="3" t="s">
        <v>75</v>
      </c>
      <c r="F19" s="3" t="s">
        <v>7</v>
      </c>
    </row>
    <row r="20" spans="1:6" x14ac:dyDescent="0.2">
      <c r="A20" s="15" t="s">
        <v>70</v>
      </c>
      <c r="B20" s="3">
        <v>75625</v>
      </c>
      <c r="C20" s="3" t="s">
        <v>17</v>
      </c>
      <c r="D20" s="14">
        <v>-0.61227686231316303</v>
      </c>
      <c r="E20" s="3" t="s">
        <v>80</v>
      </c>
      <c r="F20" s="3" t="s">
        <v>7</v>
      </c>
    </row>
    <row r="21" spans="1:6" x14ac:dyDescent="0.2">
      <c r="A21" s="15" t="s">
        <v>71</v>
      </c>
      <c r="B21" s="3">
        <v>154831</v>
      </c>
      <c r="C21" s="3" t="s">
        <v>64</v>
      </c>
      <c r="D21" s="14">
        <v>-0.61213517665130601</v>
      </c>
      <c r="E21" s="3" t="s">
        <v>81</v>
      </c>
      <c r="F21" s="3" t="s">
        <v>7</v>
      </c>
    </row>
    <row r="22" spans="1:6" x14ac:dyDescent="0.2">
      <c r="A22" s="15" t="s">
        <v>72</v>
      </c>
      <c r="B22" s="3">
        <v>94453</v>
      </c>
      <c r="C22" s="3" t="s">
        <v>21</v>
      </c>
      <c r="D22" s="14">
        <v>-0.61141115596404205</v>
      </c>
      <c r="E22" s="3" t="s">
        <v>83</v>
      </c>
      <c r="F22" s="3" t="s">
        <v>82</v>
      </c>
    </row>
    <row r="23" spans="1:6" x14ac:dyDescent="0.2">
      <c r="A23" s="15" t="s">
        <v>73</v>
      </c>
      <c r="B23" s="3">
        <v>60469</v>
      </c>
      <c r="C23" s="3" t="s">
        <v>17</v>
      </c>
      <c r="D23" s="14">
        <v>-0.59044368600682595</v>
      </c>
      <c r="E23" s="3" t="s">
        <v>84</v>
      </c>
      <c r="F23" s="3" t="s">
        <v>85</v>
      </c>
    </row>
    <row r="24" spans="1:6" x14ac:dyDescent="0.2">
      <c r="A24" s="15" t="s">
        <v>74</v>
      </c>
      <c r="B24" s="3">
        <v>84938</v>
      </c>
      <c r="C24" s="3" t="s">
        <v>21</v>
      </c>
      <c r="D24" s="14">
        <v>-0.59028902063618705</v>
      </c>
      <c r="E24" s="3" t="s">
        <v>75</v>
      </c>
      <c r="F24" s="3" t="s">
        <v>86</v>
      </c>
    </row>
  </sheetData>
  <mergeCells count="2">
    <mergeCell ref="A1:F1"/>
    <mergeCell ref="A13:F13"/>
  </mergeCells>
  <pageMargins left="0.7" right="0.7" top="0.75" bottom="0.75" header="0.3" footer="0.3"/>
  <ignoredErrors>
    <ignoredError sqref="A3:F4 A6:F24 A5:D5 F5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3C891-99DD-5A42-82C1-5EF99C3EC6FD}">
  <dimension ref="B1:G6"/>
  <sheetViews>
    <sheetView workbookViewId="0">
      <selection activeCell="B2" sqref="B2:D6"/>
    </sheetView>
  </sheetViews>
  <sheetFormatPr baseColWidth="10" defaultRowHeight="16" x14ac:dyDescent="0.2"/>
  <cols>
    <col min="1" max="1" width="17.6640625" customWidth="1"/>
    <col min="2" max="2" width="17.5" customWidth="1"/>
    <col min="3" max="3" width="16.83203125" customWidth="1"/>
    <col min="4" max="4" width="12.6640625" customWidth="1"/>
    <col min="5" max="5" width="9.6640625" customWidth="1"/>
  </cols>
  <sheetData>
    <row r="1" spans="2:7" ht="17" thickBot="1" x14ac:dyDescent="0.25"/>
    <row r="2" spans="2:7" ht="21" thickBot="1" x14ac:dyDescent="0.25">
      <c r="B2" s="16" t="s">
        <v>88</v>
      </c>
      <c r="C2" s="16" t="s">
        <v>89</v>
      </c>
      <c r="D2" s="16" t="s">
        <v>90</v>
      </c>
      <c r="E2" s="16" t="s">
        <v>91</v>
      </c>
      <c r="F2" s="22" t="s">
        <v>110</v>
      </c>
      <c r="G2" s="22" t="s">
        <v>111</v>
      </c>
    </row>
    <row r="3" spans="2:7" ht="51" customHeight="1" x14ac:dyDescent="0.2">
      <c r="B3" s="17" t="s">
        <v>92</v>
      </c>
      <c r="C3" s="17" t="s">
        <v>92</v>
      </c>
      <c r="D3" s="18">
        <v>-2.441E-3</v>
      </c>
      <c r="E3" s="17">
        <v>0</v>
      </c>
      <c r="F3" s="17">
        <v>0.63070000000000004</v>
      </c>
      <c r="G3" s="17">
        <v>-3.0000000000000001E-3</v>
      </c>
    </row>
    <row r="4" spans="2:7" ht="68" customHeight="1" x14ac:dyDescent="0.2">
      <c r="B4" s="17" t="s">
        <v>93</v>
      </c>
      <c r="C4" s="17" t="s">
        <v>94</v>
      </c>
      <c r="D4" s="18">
        <v>-2.6365999999999998E-3</v>
      </c>
      <c r="E4" s="17">
        <v>0</v>
      </c>
      <c r="F4" s="17">
        <v>0.63080000000000003</v>
      </c>
      <c r="G4" s="17">
        <v>-3.0000000000000001E-3</v>
      </c>
    </row>
    <row r="5" spans="2:7" ht="51" customHeight="1" x14ac:dyDescent="0.2">
      <c r="B5" s="27" t="s">
        <v>95</v>
      </c>
      <c r="C5" s="17" t="s">
        <v>92</v>
      </c>
      <c r="D5" s="18">
        <v>-2.4989999999999999E-3</v>
      </c>
      <c r="E5" s="17">
        <v>0</v>
      </c>
      <c r="F5" s="28">
        <v>0.63080000000000003</v>
      </c>
      <c r="G5" s="28">
        <v>-3.0000000000000001E-3</v>
      </c>
    </row>
    <row r="6" spans="2:7" ht="85" customHeight="1" x14ac:dyDescent="0.2">
      <c r="B6" s="27"/>
      <c r="C6" s="17" t="s">
        <v>96</v>
      </c>
      <c r="D6" s="18">
        <v>-8.9720000000000008E-3</v>
      </c>
      <c r="E6" s="17">
        <v>0</v>
      </c>
      <c r="F6" s="29"/>
      <c r="G6" s="29"/>
    </row>
  </sheetData>
  <mergeCells count="3">
    <mergeCell ref="B5:B6"/>
    <mergeCell ref="F5:F6"/>
    <mergeCell ref="G5:G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BC785-6DAF-544F-AE6F-EDBF0D97A169}">
  <dimension ref="B3:K31"/>
  <sheetViews>
    <sheetView tabSelected="1" workbookViewId="0">
      <selection activeCell="I4" sqref="I4"/>
    </sheetView>
  </sheetViews>
  <sheetFormatPr baseColWidth="10" defaultRowHeight="16" x14ac:dyDescent="0.2"/>
  <cols>
    <col min="2" max="2" width="22.33203125" customWidth="1"/>
    <col min="3" max="3" width="12.33203125" bestFit="1" customWidth="1"/>
    <col min="4" max="4" width="8.6640625" bestFit="1" customWidth="1"/>
    <col min="5" max="5" width="10.5" bestFit="1" customWidth="1"/>
    <col min="6" max="6" width="18.1640625" bestFit="1" customWidth="1"/>
  </cols>
  <sheetData>
    <row r="3" spans="2:11" ht="34" x14ac:dyDescent="0.2">
      <c r="B3" s="36" t="s">
        <v>88</v>
      </c>
      <c r="C3" s="36" t="s">
        <v>126</v>
      </c>
      <c r="D3" s="36" t="s">
        <v>112</v>
      </c>
      <c r="E3" s="36" t="s">
        <v>113</v>
      </c>
      <c r="F3" s="37" t="s">
        <v>132</v>
      </c>
      <c r="H3" s="35" t="s">
        <v>120</v>
      </c>
      <c r="I3" s="35" t="s">
        <v>125</v>
      </c>
      <c r="J3" s="35"/>
      <c r="K3" s="35"/>
    </row>
    <row r="4" spans="2:11" ht="17" x14ac:dyDescent="0.2">
      <c r="B4" s="38" t="s">
        <v>127</v>
      </c>
      <c r="C4" s="38"/>
      <c r="D4" s="39">
        <v>-2E-3</v>
      </c>
      <c r="E4" s="39">
        <v>-2.3999999999999998E-3</v>
      </c>
      <c r="F4" s="39">
        <f t="shared" ref="F4:F31" si="0">ABS(E4-D4)</f>
        <v>3.9999999999999975E-4</v>
      </c>
      <c r="H4" s="34">
        <f>AVERAGE(F4:F31)</f>
        <v>9.7142857142857154E-4</v>
      </c>
      <c r="I4" s="34">
        <f>MEDIAN(F4:F31)</f>
        <v>4.4999999999999999E-4</v>
      </c>
      <c r="K4" s="34"/>
    </row>
    <row r="5" spans="2:11" ht="17" x14ac:dyDescent="0.2">
      <c r="B5" s="38" t="s">
        <v>128</v>
      </c>
      <c r="C5" s="38"/>
      <c r="D5" s="38">
        <v>-1.4E-3</v>
      </c>
      <c r="E5" s="38">
        <v>-1.5E-3</v>
      </c>
      <c r="F5" s="39">
        <f t="shared" si="0"/>
        <v>1.0000000000000005E-4</v>
      </c>
      <c r="H5" s="34"/>
    </row>
    <row r="6" spans="2:11" ht="17" x14ac:dyDescent="0.2">
      <c r="B6" s="38" t="s">
        <v>129</v>
      </c>
      <c r="C6" s="38"/>
      <c r="D6" s="38">
        <v>-4.0000000000000002E-4</v>
      </c>
      <c r="E6" s="38">
        <v>-1.1000000000000001E-3</v>
      </c>
      <c r="F6" s="39">
        <f t="shared" si="0"/>
        <v>7.000000000000001E-4</v>
      </c>
      <c r="H6" s="34">
        <f>AVERAGE(F4:F22,F24:F25,F27,F30:F31)</f>
        <v>4.5833333333333338E-4</v>
      </c>
      <c r="I6" s="34">
        <f>MEDIAN(F4:F22,F24:F25,F27,F30:F31)</f>
        <v>3.999999999999998E-4</v>
      </c>
    </row>
    <row r="7" spans="2:11" ht="17" x14ac:dyDescent="0.2">
      <c r="B7" s="38" t="s">
        <v>114</v>
      </c>
      <c r="C7" s="38"/>
      <c r="D7" s="38">
        <v>-5.4999999999999997E-3</v>
      </c>
      <c r="E7" s="38">
        <v>-6.1999999999999998E-3</v>
      </c>
      <c r="F7" s="39">
        <f t="shared" si="0"/>
        <v>7.000000000000001E-4</v>
      </c>
    </row>
    <row r="8" spans="2:11" ht="17" x14ac:dyDescent="0.2">
      <c r="B8" s="38" t="s">
        <v>115</v>
      </c>
      <c r="C8" s="38"/>
      <c r="D8" s="38">
        <v>-1.6000000000000001E-3</v>
      </c>
      <c r="E8" s="38">
        <v>-1.9E-3</v>
      </c>
      <c r="F8" s="39">
        <f t="shared" si="0"/>
        <v>2.9999999999999992E-4</v>
      </c>
    </row>
    <row r="9" spans="2:11" ht="17" x14ac:dyDescent="0.2">
      <c r="B9" s="38" t="s">
        <v>116</v>
      </c>
      <c r="C9" s="38"/>
      <c r="D9" s="38">
        <v>-3.3999999999999998E-3</v>
      </c>
      <c r="E9" s="38">
        <v>-3.7000000000000002E-3</v>
      </c>
      <c r="F9" s="39">
        <f t="shared" si="0"/>
        <v>3.0000000000000035E-4</v>
      </c>
    </row>
    <row r="10" spans="2:11" ht="17" x14ac:dyDescent="0.2">
      <c r="B10" s="40" t="s">
        <v>117</v>
      </c>
      <c r="C10" s="38" t="s">
        <v>118</v>
      </c>
      <c r="D10" s="38">
        <v>-2.8E-3</v>
      </c>
      <c r="E10" s="38">
        <v>-3.0999999999999999E-3</v>
      </c>
      <c r="F10" s="39">
        <f t="shared" si="0"/>
        <v>2.9999999999999992E-4</v>
      </c>
    </row>
    <row r="11" spans="2:11" ht="17" x14ac:dyDescent="0.2">
      <c r="B11" s="41"/>
      <c r="C11" s="38" t="s">
        <v>119</v>
      </c>
      <c r="D11" s="38">
        <v>-1.6000000000000001E-3</v>
      </c>
      <c r="E11" s="38">
        <v>-2.0999999999999999E-3</v>
      </c>
      <c r="F11" s="39">
        <f t="shared" si="0"/>
        <v>4.9999999999999979E-4</v>
      </c>
    </row>
    <row r="12" spans="2:11" ht="17" x14ac:dyDescent="0.2">
      <c r="B12" s="40" t="s">
        <v>130</v>
      </c>
      <c r="C12" s="38" t="s">
        <v>118</v>
      </c>
      <c r="D12" s="38">
        <v>-5.5999999999999999E-3</v>
      </c>
      <c r="E12" s="38">
        <v>-6.1999999999999998E-3</v>
      </c>
      <c r="F12" s="39">
        <f t="shared" si="0"/>
        <v>5.9999999999999984E-4</v>
      </c>
    </row>
    <row r="13" spans="2:11" ht="17" x14ac:dyDescent="0.2">
      <c r="B13" s="41"/>
      <c r="C13" s="38" t="s">
        <v>119</v>
      </c>
      <c r="D13" s="38">
        <v>-5.4000000000000003E-3</v>
      </c>
      <c r="E13" s="38">
        <v>-6.1999999999999998E-3</v>
      </c>
      <c r="F13" s="39">
        <f t="shared" si="0"/>
        <v>7.999999999999995E-4</v>
      </c>
    </row>
    <row r="14" spans="2:11" ht="17" x14ac:dyDescent="0.2">
      <c r="B14" s="40" t="s">
        <v>131</v>
      </c>
      <c r="C14" s="38" t="s">
        <v>118</v>
      </c>
      <c r="D14" s="38">
        <v>-1.6000000000000001E-3</v>
      </c>
      <c r="E14" s="38">
        <v>-1.9E-3</v>
      </c>
      <c r="F14" s="39">
        <f t="shared" si="0"/>
        <v>2.9999999999999992E-4</v>
      </c>
    </row>
    <row r="15" spans="2:11" ht="17" x14ac:dyDescent="0.2">
      <c r="B15" s="41"/>
      <c r="C15" s="38" t="s">
        <v>119</v>
      </c>
      <c r="D15" s="38">
        <v>-8.0000000000000004E-4</v>
      </c>
      <c r="E15" s="38">
        <v>-1.1999999999999999E-3</v>
      </c>
      <c r="F15" s="39">
        <f t="shared" si="0"/>
        <v>3.9999999999999986E-4</v>
      </c>
    </row>
    <row r="16" spans="2:11" ht="17" x14ac:dyDescent="0.2">
      <c r="B16" s="40" t="s">
        <v>131</v>
      </c>
      <c r="C16" s="38" t="s">
        <v>118</v>
      </c>
      <c r="D16" s="38">
        <v>-3.2000000000000002E-3</v>
      </c>
      <c r="E16" s="38">
        <v>-2.8999999999999998E-3</v>
      </c>
      <c r="F16" s="39">
        <f>ABS(E16-D16)</f>
        <v>3.0000000000000035E-4</v>
      </c>
    </row>
    <row r="17" spans="2:6" ht="17" x14ac:dyDescent="0.2">
      <c r="B17" s="41"/>
      <c r="C17" s="38" t="s">
        <v>119</v>
      </c>
      <c r="D17" s="38">
        <v>-3.3E-3</v>
      </c>
      <c r="E17" s="38">
        <v>-3.5000000000000001E-3</v>
      </c>
      <c r="F17" s="39">
        <f t="shared" si="0"/>
        <v>2.0000000000000009E-4</v>
      </c>
    </row>
    <row r="18" spans="2:6" ht="17" x14ac:dyDescent="0.2">
      <c r="B18" s="40" t="s">
        <v>2</v>
      </c>
      <c r="C18" s="38" t="s">
        <v>5</v>
      </c>
      <c r="D18" s="38">
        <v>-1.6999999999999999E-3</v>
      </c>
      <c r="E18" s="38">
        <v>-2E-3</v>
      </c>
      <c r="F18" s="39">
        <f t="shared" si="0"/>
        <v>3.0000000000000014E-4</v>
      </c>
    </row>
    <row r="19" spans="2:6" ht="17" x14ac:dyDescent="0.2">
      <c r="B19" s="42"/>
      <c r="C19" s="38" t="s">
        <v>17</v>
      </c>
      <c r="D19" s="38">
        <v>-1.9E-3</v>
      </c>
      <c r="E19" s="38">
        <v>-2.5000000000000001E-3</v>
      </c>
      <c r="F19" s="39">
        <f t="shared" si="0"/>
        <v>6.0000000000000006E-4</v>
      </c>
    </row>
    <row r="20" spans="2:6" ht="17" x14ac:dyDescent="0.2">
      <c r="B20" s="42"/>
      <c r="C20" s="38" t="s">
        <v>21</v>
      </c>
      <c r="D20" s="38">
        <v>-1.8E-3</v>
      </c>
      <c r="E20" s="38">
        <v>-2.2000000000000001E-3</v>
      </c>
      <c r="F20" s="39">
        <f t="shared" si="0"/>
        <v>4.0000000000000018E-4</v>
      </c>
    </row>
    <row r="21" spans="2:6" ht="17" x14ac:dyDescent="0.2">
      <c r="B21" s="42"/>
      <c r="C21" s="38" t="s">
        <v>8</v>
      </c>
      <c r="D21" s="38">
        <v>-2.2000000000000001E-3</v>
      </c>
      <c r="E21" s="38">
        <v>-2.3999999999999998E-3</v>
      </c>
      <c r="F21" s="39">
        <f t="shared" si="0"/>
        <v>1.9999999999999966E-4</v>
      </c>
    </row>
    <row r="22" spans="2:6" ht="17" x14ac:dyDescent="0.2">
      <c r="B22" s="41"/>
      <c r="C22" s="38" t="s">
        <v>64</v>
      </c>
      <c r="D22" s="38">
        <v>-2.5000000000000001E-3</v>
      </c>
      <c r="E22" s="38">
        <v>-3.0999999999999999E-3</v>
      </c>
      <c r="F22" s="39">
        <f t="shared" si="0"/>
        <v>5.9999999999999984E-4</v>
      </c>
    </row>
    <row r="23" spans="2:6" ht="17" x14ac:dyDescent="0.2">
      <c r="B23" s="40" t="s">
        <v>121</v>
      </c>
      <c r="C23" s="43" t="s">
        <v>5</v>
      </c>
      <c r="D23" s="43">
        <v>4.4999999999999997E-3</v>
      </c>
      <c r="E23" s="43">
        <v>7.4000000000000003E-3</v>
      </c>
      <c r="F23" s="44">
        <f>ABS(E23-D23)</f>
        <v>2.9000000000000007E-3</v>
      </c>
    </row>
    <row r="24" spans="2:6" ht="17" x14ac:dyDescent="0.2">
      <c r="B24" s="42"/>
      <c r="C24" s="38" t="s">
        <v>122</v>
      </c>
      <c r="D24" s="38">
        <v>-2.5000000000000001E-3</v>
      </c>
      <c r="E24" s="38">
        <v>-3.0000000000000001E-3</v>
      </c>
      <c r="F24" s="39">
        <f t="shared" si="0"/>
        <v>5.0000000000000001E-4</v>
      </c>
    </row>
    <row r="25" spans="2:6" ht="17" x14ac:dyDescent="0.2">
      <c r="B25" s="41"/>
      <c r="C25" s="43" t="s">
        <v>64</v>
      </c>
      <c r="D25" s="43">
        <v>-5.9999999999999995E-4</v>
      </c>
      <c r="E25" s="43">
        <v>-2.3E-3</v>
      </c>
      <c r="F25" s="44">
        <f t="shared" si="0"/>
        <v>1.7000000000000001E-3</v>
      </c>
    </row>
    <row r="26" spans="2:6" ht="17" x14ac:dyDescent="0.2">
      <c r="B26" s="40" t="s">
        <v>123</v>
      </c>
      <c r="C26" s="43" t="s">
        <v>5</v>
      </c>
      <c r="D26" s="43">
        <v>-3.3999999999999998E-3</v>
      </c>
      <c r="E26" s="43">
        <v>1.5E-3</v>
      </c>
      <c r="F26" s="44">
        <f t="shared" si="0"/>
        <v>4.8999999999999998E-3</v>
      </c>
    </row>
    <row r="27" spans="2:6" ht="17" x14ac:dyDescent="0.2">
      <c r="B27" s="42"/>
      <c r="C27" s="38" t="s">
        <v>122</v>
      </c>
      <c r="D27" s="38">
        <v>-1.6999999999999999E-3</v>
      </c>
      <c r="E27" s="38">
        <v>-1.6999999999999999E-3</v>
      </c>
      <c r="F27" s="39">
        <f t="shared" si="0"/>
        <v>0</v>
      </c>
    </row>
    <row r="28" spans="2:6" ht="17" x14ac:dyDescent="0.2">
      <c r="B28" s="41"/>
      <c r="C28" s="43" t="s">
        <v>64</v>
      </c>
      <c r="D28" s="43">
        <v>4.7999999999999996E-3</v>
      </c>
      <c r="E28" s="43">
        <v>-1E-3</v>
      </c>
      <c r="F28" s="44">
        <f t="shared" si="0"/>
        <v>5.7999999999999996E-3</v>
      </c>
    </row>
    <row r="29" spans="2:6" ht="17" x14ac:dyDescent="0.2">
      <c r="B29" s="40" t="s">
        <v>124</v>
      </c>
      <c r="C29" s="43" t="s">
        <v>5</v>
      </c>
      <c r="D29" s="43">
        <v>-4.8999999999999998E-3</v>
      </c>
      <c r="E29" s="43">
        <v>-7.4999999999999997E-3</v>
      </c>
      <c r="F29" s="44">
        <f t="shared" si="0"/>
        <v>2.5999999999999999E-3</v>
      </c>
    </row>
    <row r="30" spans="2:6" ht="17" x14ac:dyDescent="0.2">
      <c r="B30" s="42"/>
      <c r="C30" s="38" t="s">
        <v>122</v>
      </c>
      <c r="D30" s="38">
        <v>-2.9999999999999997E-4</v>
      </c>
      <c r="E30" s="38">
        <v>-8.0000000000000004E-4</v>
      </c>
      <c r="F30" s="39">
        <f t="shared" si="0"/>
        <v>5.0000000000000001E-4</v>
      </c>
    </row>
    <row r="31" spans="2:6" ht="17" x14ac:dyDescent="0.2">
      <c r="B31" s="41"/>
      <c r="C31" s="38" t="s">
        <v>64</v>
      </c>
      <c r="D31" s="38">
        <v>8.0000000000000004E-4</v>
      </c>
      <c r="E31" s="38">
        <v>1.1000000000000001E-3</v>
      </c>
      <c r="F31" s="39">
        <f t="shared" si="0"/>
        <v>3.0000000000000003E-4</v>
      </c>
    </row>
  </sheetData>
  <mergeCells count="8">
    <mergeCell ref="B23:B25"/>
    <mergeCell ref="B26:B28"/>
    <mergeCell ref="B29:B31"/>
    <mergeCell ref="B14:B15"/>
    <mergeCell ref="B12:B13"/>
    <mergeCell ref="B10:B11"/>
    <mergeCell ref="B16:B17"/>
    <mergeCell ref="B18:B2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8D8EB-632E-F041-8678-5E5E20627FA8}">
  <dimension ref="A2:C7"/>
  <sheetViews>
    <sheetView workbookViewId="0">
      <selection activeCell="C6" sqref="C6"/>
    </sheetView>
  </sheetViews>
  <sheetFormatPr baseColWidth="10" defaultRowHeight="16" x14ac:dyDescent="0.2"/>
  <cols>
    <col min="1" max="1" width="18.33203125" style="20" bestFit="1" customWidth="1"/>
    <col min="2" max="2" width="22" style="20" bestFit="1" customWidth="1"/>
    <col min="3" max="3" width="22.6640625" style="20" bestFit="1" customWidth="1"/>
  </cols>
  <sheetData>
    <row r="2" spans="1:3" ht="21" x14ac:dyDescent="0.25">
      <c r="A2" s="19" t="s">
        <v>2</v>
      </c>
      <c r="B2" s="19" t="s">
        <v>97</v>
      </c>
      <c r="C2" s="19" t="s">
        <v>98</v>
      </c>
    </row>
    <row r="3" spans="1:3" ht="21" x14ac:dyDescent="0.25">
      <c r="A3" s="19" t="s">
        <v>64</v>
      </c>
      <c r="B3" s="19" t="s">
        <v>99</v>
      </c>
      <c r="C3" s="19" t="s">
        <v>100</v>
      </c>
    </row>
    <row r="4" spans="1:3" ht="21" x14ac:dyDescent="0.25">
      <c r="A4" s="19" t="s">
        <v>8</v>
      </c>
      <c r="B4" s="19" t="s">
        <v>101</v>
      </c>
      <c r="C4" s="19" t="s">
        <v>102</v>
      </c>
    </row>
    <row r="5" spans="1:3" ht="21" x14ac:dyDescent="0.25">
      <c r="A5" s="19" t="s">
        <v>21</v>
      </c>
      <c r="B5" s="19" t="s">
        <v>103</v>
      </c>
      <c r="C5" s="19" t="s">
        <v>104</v>
      </c>
    </row>
    <row r="6" spans="1:3" ht="21" x14ac:dyDescent="0.25">
      <c r="A6" s="19" t="s">
        <v>17</v>
      </c>
      <c r="B6" s="19" t="s">
        <v>105</v>
      </c>
      <c r="C6" s="19" t="s">
        <v>106</v>
      </c>
    </row>
    <row r="7" spans="1:3" ht="21" x14ac:dyDescent="0.25">
      <c r="A7" s="19" t="s">
        <v>5</v>
      </c>
      <c r="B7" s="19" t="s">
        <v>107</v>
      </c>
      <c r="C7" s="19" t="s">
        <v>108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L31"/>
  <sheetViews>
    <sheetView topLeftCell="F1" zoomScale="119" zoomScaleNormal="86" workbookViewId="0">
      <selection activeCell="J2" sqref="J2:O25"/>
    </sheetView>
  </sheetViews>
  <sheetFormatPr baseColWidth="10" defaultRowHeight="16" x14ac:dyDescent="0.2"/>
  <cols>
    <col min="2" max="2" width="18.6640625" style="1" customWidth="1"/>
    <col min="3" max="3" width="13.83203125" bestFit="1" customWidth="1"/>
    <col min="4" max="4" width="12.6640625" bestFit="1" customWidth="1"/>
    <col min="5" max="5" width="19.5" bestFit="1" customWidth="1"/>
    <col min="6" max="6" width="28.6640625" bestFit="1" customWidth="1"/>
    <col min="7" max="7" width="12.33203125" bestFit="1" customWidth="1"/>
    <col min="9" max="9" width="14.5" style="1" customWidth="1"/>
    <col min="10" max="10" width="17.33203125" style="1" bestFit="1" customWidth="1"/>
    <col min="11" max="11" width="13.83203125" bestFit="1" customWidth="1"/>
    <col min="12" max="12" width="12.6640625" style="1" bestFit="1" customWidth="1"/>
    <col min="13" max="13" width="19.6640625" bestFit="1" customWidth="1"/>
    <col min="14" max="14" width="27.83203125" bestFit="1" customWidth="1"/>
    <col min="15" max="15" width="13.1640625" customWidth="1"/>
  </cols>
  <sheetData>
    <row r="1" spans="2:7" ht="17" thickBot="1" x14ac:dyDescent="0.25"/>
    <row r="2" spans="2:7" ht="17" thickBot="1" x14ac:dyDescent="0.25">
      <c r="B2" s="30" t="s">
        <v>61</v>
      </c>
      <c r="C2" s="31"/>
      <c r="D2" s="31"/>
      <c r="E2" s="31"/>
      <c r="F2" s="31"/>
      <c r="G2" s="31"/>
    </row>
    <row r="3" spans="2:7" ht="17" thickBot="1" x14ac:dyDescent="0.25">
      <c r="B3" s="32" t="s">
        <v>59</v>
      </c>
      <c r="C3" s="33"/>
      <c r="D3" s="33"/>
      <c r="E3" s="33"/>
      <c r="F3" s="33"/>
      <c r="G3" s="33"/>
    </row>
    <row r="4" spans="2:7" x14ac:dyDescent="0.2">
      <c r="B4" s="8" t="s">
        <v>0</v>
      </c>
      <c r="C4" s="7" t="s">
        <v>1</v>
      </c>
      <c r="D4" s="7" t="s">
        <v>2</v>
      </c>
      <c r="E4" s="7" t="s">
        <v>62</v>
      </c>
      <c r="F4" s="7" t="s">
        <v>3</v>
      </c>
      <c r="G4" s="7" t="s">
        <v>4</v>
      </c>
    </row>
    <row r="5" spans="2:7" x14ac:dyDescent="0.2">
      <c r="B5" s="9" t="s">
        <v>38</v>
      </c>
      <c r="C5" s="3">
        <v>105714</v>
      </c>
      <c r="D5" s="3" t="s">
        <v>8</v>
      </c>
      <c r="E5" s="4">
        <v>15.6</v>
      </c>
      <c r="F5" s="3" t="s">
        <v>9</v>
      </c>
      <c r="G5" s="3" t="s">
        <v>10</v>
      </c>
    </row>
    <row r="6" spans="2:7" x14ac:dyDescent="0.2">
      <c r="B6" s="9" t="s">
        <v>40</v>
      </c>
      <c r="C6" s="3">
        <v>40259</v>
      </c>
      <c r="D6" s="3" t="s">
        <v>5</v>
      </c>
      <c r="E6" s="4">
        <v>14</v>
      </c>
      <c r="F6" s="3" t="s">
        <v>13</v>
      </c>
      <c r="G6" s="3" t="s">
        <v>14</v>
      </c>
    </row>
    <row r="7" spans="2:7" x14ac:dyDescent="0.2">
      <c r="B7" s="10" t="s">
        <v>39</v>
      </c>
      <c r="C7" s="3">
        <v>57027</v>
      </c>
      <c r="D7" s="3" t="s">
        <v>5</v>
      </c>
      <c r="E7" s="4">
        <v>13.8</v>
      </c>
      <c r="F7" s="3" t="s">
        <v>6</v>
      </c>
      <c r="G7" s="3" t="s">
        <v>7</v>
      </c>
    </row>
    <row r="8" spans="2:7" x14ac:dyDescent="0.2">
      <c r="B8" s="9" t="s">
        <v>42</v>
      </c>
      <c r="C8" s="3">
        <v>56917</v>
      </c>
      <c r="D8" s="3" t="s">
        <v>5</v>
      </c>
      <c r="E8" s="4">
        <v>13.7</v>
      </c>
      <c r="F8" s="3" t="s">
        <v>11</v>
      </c>
      <c r="G8" s="3" t="s">
        <v>12</v>
      </c>
    </row>
    <row r="9" spans="2:7" x14ac:dyDescent="0.2">
      <c r="B9" s="9" t="s">
        <v>41</v>
      </c>
      <c r="C9" s="3">
        <v>73375</v>
      </c>
      <c r="D9" s="3" t="s">
        <v>17</v>
      </c>
      <c r="E9" s="4">
        <v>13.7</v>
      </c>
      <c r="F9" s="3" t="s">
        <v>18</v>
      </c>
      <c r="G9" s="3" t="s">
        <v>19</v>
      </c>
    </row>
    <row r="10" spans="2:7" x14ac:dyDescent="0.2">
      <c r="B10" s="10" t="s">
        <v>45</v>
      </c>
      <c r="C10" s="3">
        <v>50489</v>
      </c>
      <c r="D10" s="3" t="s">
        <v>5</v>
      </c>
      <c r="E10" s="4">
        <v>12.2</v>
      </c>
      <c r="F10" s="3" t="s">
        <v>22</v>
      </c>
      <c r="G10" s="3" t="s">
        <v>23</v>
      </c>
    </row>
    <row r="11" spans="2:7" x14ac:dyDescent="0.2">
      <c r="B11" s="9" t="s">
        <v>46</v>
      </c>
      <c r="C11" s="3">
        <v>79226</v>
      </c>
      <c r="D11" s="3" t="s">
        <v>21</v>
      </c>
      <c r="E11" s="4">
        <v>11.9</v>
      </c>
      <c r="F11" s="3" t="s">
        <v>24</v>
      </c>
      <c r="G11" s="3" t="s">
        <v>25</v>
      </c>
    </row>
    <row r="12" spans="2:7" x14ac:dyDescent="0.2">
      <c r="B12" s="9" t="s">
        <v>43</v>
      </c>
      <c r="C12" s="3">
        <v>102188</v>
      </c>
      <c r="D12" s="3" t="s">
        <v>8</v>
      </c>
      <c r="E12" s="4">
        <v>11.7</v>
      </c>
      <c r="F12" s="3" t="s">
        <v>20</v>
      </c>
      <c r="G12" s="3" t="s">
        <v>7</v>
      </c>
    </row>
    <row r="13" spans="2:7" x14ac:dyDescent="0.2">
      <c r="B13" s="9" t="s">
        <v>52</v>
      </c>
      <c r="C13" s="3">
        <v>44245</v>
      </c>
      <c r="D13" s="3" t="s">
        <v>17</v>
      </c>
      <c r="E13" s="4">
        <v>11.3</v>
      </c>
      <c r="F13" s="3" t="s">
        <v>53</v>
      </c>
      <c r="G13" s="3" t="s">
        <v>54</v>
      </c>
    </row>
    <row r="14" spans="2:7" ht="17" thickBot="1" x14ac:dyDescent="0.25">
      <c r="B14" s="11" t="s">
        <v>44</v>
      </c>
      <c r="C14" s="5">
        <v>18531</v>
      </c>
      <c r="D14" s="5" t="s">
        <v>5</v>
      </c>
      <c r="E14" s="6">
        <v>11</v>
      </c>
      <c r="F14" s="5" t="s">
        <v>15</v>
      </c>
      <c r="G14" s="5" t="s">
        <v>16</v>
      </c>
    </row>
    <row r="15" spans="2:7" ht="17" thickBot="1" x14ac:dyDescent="0.25">
      <c r="B15" s="32" t="s">
        <v>60</v>
      </c>
      <c r="C15" s="33"/>
      <c r="D15" s="33"/>
      <c r="E15" s="33"/>
      <c r="F15" s="33"/>
      <c r="G15" s="33"/>
    </row>
    <row r="16" spans="2:7" x14ac:dyDescent="0.2">
      <c r="B16" s="8" t="s">
        <v>0</v>
      </c>
      <c r="C16" s="7" t="s">
        <v>1</v>
      </c>
      <c r="D16" s="7" t="s">
        <v>2</v>
      </c>
      <c r="E16" s="7" t="s">
        <v>62</v>
      </c>
      <c r="F16" s="7" t="s">
        <v>3</v>
      </c>
      <c r="G16" s="7" t="s">
        <v>4</v>
      </c>
    </row>
    <row r="17" spans="2:12" x14ac:dyDescent="0.2">
      <c r="B17" s="10" t="s">
        <v>39</v>
      </c>
      <c r="C17" s="3">
        <v>57027</v>
      </c>
      <c r="D17" s="3" t="s">
        <v>5</v>
      </c>
      <c r="E17" s="3">
        <v>56.3</v>
      </c>
      <c r="F17" s="3" t="s">
        <v>6</v>
      </c>
      <c r="G17" s="3" t="s">
        <v>7</v>
      </c>
    </row>
    <row r="18" spans="2:12" x14ac:dyDescent="0.2">
      <c r="B18" s="9" t="s">
        <v>47</v>
      </c>
      <c r="C18" s="3">
        <v>81011</v>
      </c>
      <c r="D18" s="3" t="s">
        <v>21</v>
      </c>
      <c r="E18" s="3">
        <v>54.1</v>
      </c>
      <c r="F18" s="3" t="s">
        <v>26</v>
      </c>
      <c r="G18" s="3" t="s">
        <v>27</v>
      </c>
    </row>
    <row r="19" spans="2:12" x14ac:dyDescent="0.2">
      <c r="B19" s="9" t="s">
        <v>48</v>
      </c>
      <c r="C19" s="3">
        <v>124083</v>
      </c>
      <c r="D19" s="3" t="s">
        <v>8</v>
      </c>
      <c r="E19" s="3">
        <v>48</v>
      </c>
      <c r="F19" s="3" t="s">
        <v>28</v>
      </c>
      <c r="G19" s="3" t="s">
        <v>29</v>
      </c>
    </row>
    <row r="20" spans="2:12" x14ac:dyDescent="0.2">
      <c r="B20" s="10" t="s">
        <v>44</v>
      </c>
      <c r="C20" s="3">
        <v>18531</v>
      </c>
      <c r="D20" s="3" t="s">
        <v>5</v>
      </c>
      <c r="E20" s="3">
        <v>34.799999999999997</v>
      </c>
      <c r="F20" s="3" t="s">
        <v>15</v>
      </c>
      <c r="G20" s="3" t="s">
        <v>16</v>
      </c>
    </row>
    <row r="21" spans="2:12" x14ac:dyDescent="0.2">
      <c r="B21" s="10" t="s">
        <v>45</v>
      </c>
      <c r="C21" s="3">
        <v>50489</v>
      </c>
      <c r="D21" s="3" t="s">
        <v>5</v>
      </c>
      <c r="E21" s="3">
        <v>31.7</v>
      </c>
      <c r="F21" s="3" t="s">
        <v>22</v>
      </c>
      <c r="G21" s="3" t="s">
        <v>23</v>
      </c>
    </row>
    <row r="22" spans="2:12" x14ac:dyDescent="0.2">
      <c r="B22" s="9" t="s">
        <v>49</v>
      </c>
      <c r="C22" s="3">
        <v>77143</v>
      </c>
      <c r="D22" s="3" t="s">
        <v>21</v>
      </c>
      <c r="E22" s="3">
        <v>25.8</v>
      </c>
      <c r="F22" s="3" t="s">
        <v>30</v>
      </c>
      <c r="G22" s="3" t="s">
        <v>31</v>
      </c>
    </row>
    <row r="23" spans="2:12" x14ac:dyDescent="0.2">
      <c r="B23" s="9" t="s">
        <v>51</v>
      </c>
      <c r="C23" s="3">
        <v>15417</v>
      </c>
      <c r="D23" s="3" t="s">
        <v>5</v>
      </c>
      <c r="E23" s="3">
        <v>20.2</v>
      </c>
      <c r="F23" s="3" t="s">
        <v>34</v>
      </c>
      <c r="G23" s="3" t="s">
        <v>7</v>
      </c>
    </row>
    <row r="24" spans="2:12" x14ac:dyDescent="0.2">
      <c r="B24" s="9" t="s">
        <v>50</v>
      </c>
      <c r="C24" s="3">
        <v>51286</v>
      </c>
      <c r="D24" s="3" t="s">
        <v>5</v>
      </c>
      <c r="E24" s="3">
        <v>19.399999999999999</v>
      </c>
      <c r="F24" s="3" t="s">
        <v>32</v>
      </c>
      <c r="G24" s="3" t="s">
        <v>33</v>
      </c>
    </row>
    <row r="25" spans="2:12" x14ac:dyDescent="0.2">
      <c r="B25" s="9" t="s">
        <v>55</v>
      </c>
      <c r="C25" s="3">
        <v>41773</v>
      </c>
      <c r="D25" s="3" t="s">
        <v>5</v>
      </c>
      <c r="E25" s="3">
        <v>18.600000000000001</v>
      </c>
      <c r="F25" s="3" t="s">
        <v>35</v>
      </c>
      <c r="G25" s="3" t="s">
        <v>36</v>
      </c>
    </row>
    <row r="26" spans="2:12" ht="17" thickBot="1" x14ac:dyDescent="0.25">
      <c r="B26" s="12" t="s">
        <v>56</v>
      </c>
      <c r="C26" s="13">
        <v>79828</v>
      </c>
      <c r="D26" s="13" t="s">
        <v>8</v>
      </c>
      <c r="E26" s="13">
        <v>18.5</v>
      </c>
      <c r="F26" s="13" t="s">
        <v>58</v>
      </c>
      <c r="G26" s="13" t="s">
        <v>57</v>
      </c>
      <c r="K26" s="1"/>
      <c r="L26"/>
    </row>
    <row r="27" spans="2:12" x14ac:dyDescent="0.2">
      <c r="K27" s="1"/>
      <c r="L27"/>
    </row>
    <row r="28" spans="2:12" x14ac:dyDescent="0.2">
      <c r="B28" s="2"/>
      <c r="C28" t="s">
        <v>37</v>
      </c>
      <c r="K28" s="1"/>
      <c r="L28"/>
    </row>
    <row r="29" spans="2:12" x14ac:dyDescent="0.2">
      <c r="K29" s="1"/>
      <c r="L29"/>
    </row>
    <row r="30" spans="2:12" x14ac:dyDescent="0.2">
      <c r="K30" s="1"/>
      <c r="L30"/>
    </row>
    <row r="31" spans="2:12" x14ac:dyDescent="0.2">
      <c r="K31" s="1"/>
      <c r="L31"/>
    </row>
  </sheetData>
  <mergeCells count="3">
    <mergeCell ref="B2:G2"/>
    <mergeCell ref="B3:G3"/>
    <mergeCell ref="B15:G15"/>
  </mergeCells>
  <pageMargins left="0.75" right="0.75" top="1" bottom="1" header="0.5" footer="0.5"/>
  <pageSetup orientation="portrait" horizontalDpi="0" verticalDpi="0"/>
  <ignoredErrors>
    <ignoredError sqref="B3 B5 B6:B14 B15:G15 B17:G26 B16:D16 F16:G16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Table S1</vt:lpstr>
      <vt:lpstr>Table S2</vt:lpstr>
      <vt:lpstr>Sheet1</vt:lpstr>
      <vt:lpstr>Table S3(Maybe)</vt:lpstr>
      <vt:lpstr>archive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2022-11-10T07:34:14Z</dcterms:created>
  <dcterms:modified xsi:type="dcterms:W3CDTF">2023-04-10T17:12:52Z</dcterms:modified>
</cp:coreProperties>
</file>